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ta general" sheetId="1" r:id="rId3"/>
    <sheet state="visible" name="Notas" sheetId="2" r:id="rId4"/>
    <sheet state="visible" name="Informe individual" sheetId="3" r:id="rId5"/>
  </sheets>
  <definedNames>
    <definedName name="Grades">'Vista general'!$F$7:$F$19</definedName>
    <definedName name="ClassAvgPoints">Notas!$E$5:$AB$5</definedName>
    <definedName localSheetId="1" name="StudentNames">Notas!$B$6:$B$46</definedName>
    <definedName name="StudentGrades">Notas!$C$6:$C$46</definedName>
    <definedName name="TotalPoints">Notas!$D$4</definedName>
    <definedName name="PointValues">Notas!$E$3:$AB$3</definedName>
    <definedName name="GradeRange">'Vista general'!$D$7:$D$19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This cell only shows the total number of points for assignments that have been completed. It's used to calculate the percentage grades in column D and is referenced as 'TotalPoints'.</t>
      </text>
    </comment>
  </commentList>
</comments>
</file>

<file path=xl/sharedStrings.xml><?xml version="1.0" encoding="utf-8"?>
<sst xmlns="http://schemas.openxmlformats.org/spreadsheetml/2006/main" count="50" uniqueCount="35">
  <si>
    <t>VISTA GENERAL</t>
  </si>
  <si>
    <t>BOLETÍN DE NOTAS</t>
  </si>
  <si>
    <t xml:space="preserve">
Para modificar el sistema de calificación, cambia los valores de las columnas "Intervalo del %" y "Nota" que aparecen más abajo. 
El total de alumnos con una nota determinada se calcula automáticamente en función de las calificaciones de la pestaña "Notas". 
En la pestaña "Informe individual" encontrarás un informe personalizado de cada alumno.
</t>
  </si>
  <si>
    <t>SISTEMA DE CALIFICACIÓN</t>
  </si>
  <si>
    <t xml:space="preserve">DISTRIBUCIÓN DE LAS NOTAS </t>
  </si>
  <si>
    <t>PUNTUACIONES MEDIAS</t>
  </si>
  <si>
    <t>Intervalo del %</t>
  </si>
  <si>
    <t>Nota</t>
  </si>
  <si>
    <t>N.º de alumnos</t>
  </si>
  <si>
    <t>según el promedio de la clase</t>
  </si>
  <si>
    <t>por tarea</t>
  </si>
  <si>
    <t>-</t>
  </si>
  <si>
    <t>SOB+</t>
  </si>
  <si>
    <t>SOB</t>
  </si>
  <si>
    <t>SOB-</t>
  </si>
  <si>
    <t>NOT+</t>
  </si>
  <si>
    <t>NOT</t>
  </si>
  <si>
    <t>NOT-</t>
  </si>
  <si>
    <t>BIEN+</t>
  </si>
  <si>
    <t>BIEN</t>
  </si>
  <si>
    <t>APR</t>
  </si>
  <si>
    <t>SUS</t>
  </si>
  <si>
    <t xml:space="preserve">   Escribe las tareas y exámenes en la fila 2. 
   Indica la nota máxima posible de cada uno de ellos en la fila 3. 
   Las notas de los alumnos se calculan automáticamente en las columnas C y D.</t>
  </si>
  <si>
    <t>NOMBRE DE LA CLASE</t>
  </si>
  <si>
    <t>TAREA 1</t>
  </si>
  <si>
    <t>TEST 1</t>
  </si>
  <si>
    <t>EXAMEN 1</t>
  </si>
  <si>
    <t>Profesor</t>
  </si>
  <si>
    <t xml:space="preserve">Total (acumulado): </t>
  </si>
  <si>
    <t>Promedio de la clase</t>
  </si>
  <si>
    <t>Alumno 1</t>
  </si>
  <si>
    <t>Alumno 2</t>
  </si>
  <si>
    <t>Alumno 3</t>
  </si>
  <si>
    <t xml:space="preserve">
Selecciona un alumno de la lista de la celda B4. 
El resto de la hoja se actualiza automáticamente con las notas y los promedios de la clase.
</t>
  </si>
  <si>
    <t>INFORME INDIVIDUAL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</si>
</sst>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
    <numFmt numFmtId="165" formatCode="0.0"/>
  </numFmts>
  <fonts count="35">
    <font>
      <sz val="10.0"/>
      <color rgb="FF000000"/>
      <name val="Arial"/>
    </font>
    <font>
      <sz val="12.0"/>
      <color rgb="FFC5CAE9"/>
      <name val="Roboto"/>
    </font>
    <font>
      <sz val="12.0"/>
      <color rgb="FFC5CAE9"/>
      <name val="Roboto Condensed"/>
    </font>
    <font>
      <sz val="20.0"/>
      <color rgb="FFFFFFFF"/>
      <name val="Roboto"/>
    </font>
    <font>
      <sz val="10.0"/>
      <name val="Roboto"/>
    </font>
    <font>
      <i/>
      <sz val="10.0"/>
      <color rgb="FF303F9F"/>
      <name val="Roboto Condensed"/>
    </font>
    <font>
      <i/>
      <sz val="10.0"/>
      <color rgb="FF303F9F"/>
      <name val="Roboto"/>
    </font>
    <font>
      <b/>
      <sz val="10.0"/>
      <color rgb="FF303F9F"/>
      <name val="Roboto"/>
    </font>
    <font>
      <sz val="10.0"/>
      <color rgb="FF6772AD"/>
      <name val="Roboto"/>
    </font>
    <font/>
    <font>
      <i/>
      <sz val="10.0"/>
      <color rgb="FF6772AD"/>
      <name val="Roboto"/>
    </font>
    <font>
      <sz val="10.0"/>
      <color rgb="FF434343"/>
      <name val="Roboto"/>
    </font>
    <font>
      <b/>
      <sz val="10.0"/>
      <color rgb="FF434343"/>
      <name val="Roboto"/>
    </font>
    <font>
      <sz val="10.0"/>
      <color rgb="FF2A3990"/>
      <name val="Roboto"/>
    </font>
    <font>
      <i/>
      <sz val="12.0"/>
      <color rgb="FFE8EAF6"/>
      <name val="Roboto"/>
    </font>
    <font>
      <i/>
      <sz val="10.0"/>
      <color rgb="FFC5CAE9"/>
      <name val="Roboto Condensed"/>
    </font>
    <font>
      <i/>
      <sz val="10.0"/>
      <color rgb="FFC5CAE9"/>
      <name val="Roboto"/>
    </font>
    <font>
      <b/>
      <sz val="10.0"/>
      <color rgb="FF000000"/>
      <name val="Roboto"/>
    </font>
    <font>
      <i/>
      <sz val="10.0"/>
      <color rgb="FF434343"/>
      <name val="Roboto"/>
    </font>
    <font>
      <b/>
      <sz val="10.0"/>
      <color rgb="FFE8EAF6"/>
      <name val="Roboto"/>
    </font>
    <font>
      <sz val="10.0"/>
      <color rgb="FFE8EAF6"/>
      <name val="Roboto"/>
    </font>
    <font>
      <b/>
      <sz val="10.0"/>
      <color rgb="FF1A237E"/>
      <name val="Roboto"/>
    </font>
    <font>
      <sz val="18.0"/>
      <name val="Roboto"/>
    </font>
    <font>
      <sz val="11.0"/>
      <color rgb="FF6772AD"/>
      <name val="Roboto"/>
    </font>
    <font>
      <sz val="11.0"/>
      <color rgb="FF6772AD"/>
      <name val="Roboto Condensed"/>
    </font>
    <font>
      <sz val="22.0"/>
      <name val="Roboto"/>
    </font>
    <font>
      <sz val="21.0"/>
      <color rgb="FF303F9F"/>
      <name val="Roboto Condensed"/>
    </font>
    <font>
      <sz val="22.0"/>
      <color rgb="FF303F9F"/>
      <name val="Roboto"/>
    </font>
    <font>
      <sz val="10.0"/>
      <color rgb="FF303F9F"/>
      <name val="Roboto"/>
    </font>
    <font>
      <color rgb="FF666666"/>
      <name val="Roboto"/>
    </font>
    <font>
      <b/>
      <color rgb="FF666666"/>
      <name val="Roboto"/>
    </font>
    <font>
      <color rgb="FF999999"/>
      <name val="Roboto"/>
    </font>
    <font>
      <color rgb="FF000000"/>
      <name val="Roboto"/>
    </font>
    <font>
      <b/>
      <color rgb="FF000000"/>
      <name val="Roboto"/>
    </font>
    <font>
      <color rgb="FF434343"/>
      <name val="Roboto"/>
    </font>
  </fonts>
  <fills count="6">
    <fill>
      <patternFill patternType="none"/>
    </fill>
    <fill>
      <patternFill patternType="lightGray"/>
    </fill>
    <fill>
      <patternFill patternType="solid">
        <fgColor rgb="FF2A3990"/>
        <bgColor rgb="FF2A3990"/>
      </patternFill>
    </fill>
    <fill>
      <patternFill patternType="solid">
        <fgColor rgb="FFE8EAF6"/>
        <bgColor rgb="FFE8EAF6"/>
      </patternFill>
    </fill>
    <fill>
      <patternFill patternType="solid">
        <fgColor rgb="FFFFFFFF"/>
        <bgColor rgb="FFFFFFFF"/>
      </patternFill>
    </fill>
    <fill>
      <patternFill patternType="solid">
        <fgColor rgb="FF303F9F"/>
        <bgColor rgb="FF303F9F"/>
      </patternFill>
    </fill>
  </fills>
  <borders count="11">
    <border/>
    <border>
      <bottom style="thin">
        <color rgb="FFC5CAE9"/>
      </bottom>
    </border>
    <border>
      <top style="thin">
        <color rgb="FFC5CAE9"/>
      </top>
    </border>
    <border>
      <left style="thin">
        <color rgb="FFE8EAF6"/>
      </left>
      <right style="thin">
        <color rgb="FFE8EAF6"/>
      </right>
    </border>
    <border>
      <left style="thin">
        <color rgb="FFE8EAF6"/>
      </left>
      <right style="thin">
        <color rgb="FFE8EAF6"/>
      </right>
      <bottom style="thin">
        <color rgb="FFC5CAE9"/>
      </bottom>
    </border>
    <border>
      <right style="thin">
        <color rgb="FFE8EAF6"/>
      </right>
    </border>
    <border>
      <left style="thin">
        <color rgb="FFE8EAF6"/>
      </left>
    </border>
    <border>
      <right style="thin">
        <color rgb="FFC5CAE9"/>
      </right>
    </border>
    <border>
      <right style="thin">
        <color rgb="FF1A237E"/>
      </right>
    </border>
    <border>
      <left style="thin">
        <color rgb="FF1A237E"/>
      </left>
      <right style="thin">
        <color rgb="FF1A237E"/>
      </right>
    </border>
    <border>
      <right style="dotted">
        <color rgb="FFC5CAE9"/>
      </right>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2" numFmtId="0" xfId="0" applyAlignment="1" applyFont="1">
      <alignment horizontal="left" readingOrder="0" vertical="bottom"/>
    </xf>
    <xf borderId="0" fillId="2" fontId="3" numFmtId="0" xfId="0" applyAlignment="1" applyFont="1">
      <alignment horizontal="left" readingOrder="0" vertical="top"/>
    </xf>
    <xf borderId="0" fillId="3" fontId="4" numFmtId="0" xfId="0" applyAlignment="1" applyFill="1" applyFont="1">
      <alignment vertical="bottom"/>
    </xf>
    <xf borderId="0" fillId="3" fontId="5" numFmtId="0" xfId="0" applyAlignment="1" applyFont="1">
      <alignment horizontal="left" readingOrder="0" shrinkToFit="0" vertical="bottom" wrapText="1"/>
    </xf>
    <xf borderId="0" fillId="3" fontId="6" numFmtId="0" xfId="0" applyAlignment="1" applyFont="1">
      <alignment horizontal="left" readingOrder="0" vertical="bottom"/>
    </xf>
    <xf borderId="0" fillId="0" fontId="4" numFmtId="0" xfId="0" applyAlignment="1" applyFont="1">
      <alignment vertical="bottom"/>
    </xf>
    <xf borderId="0" fillId="0" fontId="4" numFmtId="0" xfId="0" applyAlignment="1" applyFont="1">
      <alignment horizontal="center" vertical="bottom"/>
    </xf>
    <xf borderId="0" fillId="0" fontId="4" numFmtId="0" xfId="0" applyAlignment="1" applyFont="1">
      <alignment horizontal="left" vertical="bottom"/>
    </xf>
    <xf borderId="0" fillId="0" fontId="7" numFmtId="0" xfId="0" applyAlignment="1" applyFont="1">
      <alignment horizontal="left" readingOrder="0" vertical="bottom"/>
    </xf>
    <xf borderId="0" fillId="0" fontId="8" numFmtId="0" xfId="0" applyAlignment="1" applyFont="1">
      <alignment vertical="center"/>
    </xf>
    <xf borderId="1" fillId="0" fontId="8" numFmtId="0" xfId="0" applyAlignment="1" applyBorder="1" applyFont="1">
      <alignment horizontal="left" readingOrder="0" vertical="center"/>
    </xf>
    <xf borderId="1" fillId="0" fontId="9" numFmtId="0" xfId="0" applyBorder="1" applyFont="1"/>
    <xf borderId="1" fillId="0" fontId="8" numFmtId="0" xfId="0" applyAlignment="1" applyBorder="1" applyFont="1">
      <alignment horizontal="center" vertical="center"/>
    </xf>
    <xf borderId="0" fillId="0" fontId="8" numFmtId="0" xfId="0" applyAlignment="1" applyFont="1">
      <alignment horizontal="left" readingOrder="0" vertical="center"/>
    </xf>
    <xf borderId="0" fillId="0" fontId="10" numFmtId="0" xfId="0" applyAlignment="1" applyFont="1">
      <alignment horizontal="left" readingOrder="0" shrinkToFit="0" vertical="center" wrapText="0"/>
    </xf>
    <xf borderId="0" fillId="0" fontId="4" numFmtId="0" xfId="0" applyAlignment="1" applyFont="1">
      <alignment vertical="center"/>
    </xf>
    <xf borderId="2" fillId="0" fontId="11" numFmtId="0" xfId="0" applyAlignment="1" applyBorder="1" applyFont="1">
      <alignment horizontal="center" vertical="center"/>
    </xf>
    <xf borderId="2" fillId="0" fontId="11" numFmtId="0" xfId="0" applyAlignment="1" applyBorder="1" applyFont="1">
      <alignment horizontal="center" readingOrder="0" vertical="center"/>
    </xf>
    <xf borderId="2" fillId="0" fontId="4" numFmtId="0" xfId="0" applyAlignment="1" applyBorder="1" applyFont="1">
      <alignment horizontal="center" vertical="center"/>
    </xf>
    <xf borderId="2" fillId="0" fontId="12" numFmtId="0" xfId="0" applyAlignment="1" applyBorder="1" applyFont="1">
      <alignment horizontal="left" readingOrder="0" vertical="center"/>
    </xf>
    <xf borderId="2" fillId="0" fontId="11" numFmtId="0" xfId="0" applyAlignment="1" applyBorder="1" applyFont="1">
      <alignment horizontal="left" readingOrder="0" vertical="center"/>
    </xf>
    <xf borderId="0" fillId="0" fontId="12" numFmtId="0" xfId="0" applyAlignment="1" applyFont="1">
      <alignment horizontal="left" readingOrder="0" vertical="center"/>
    </xf>
    <xf borderId="0" fillId="0" fontId="11" numFmtId="0" xfId="0" applyAlignment="1" applyFont="1">
      <alignment vertical="center"/>
    </xf>
    <xf borderId="0" fillId="4" fontId="11" numFmtId="0" xfId="0" applyAlignment="1" applyFill="1" applyFont="1">
      <alignment horizontal="center" readingOrder="0" vertical="center"/>
    </xf>
    <xf borderId="0" fillId="4" fontId="4" numFmtId="0" xfId="0" applyAlignment="1" applyFont="1">
      <alignment horizontal="center" vertical="center"/>
    </xf>
    <xf borderId="0" fillId="4" fontId="12" numFmtId="0" xfId="0" applyAlignment="1" applyFont="1">
      <alignment horizontal="left" readingOrder="0" vertical="center"/>
    </xf>
    <xf borderId="0" fillId="4" fontId="13" numFmtId="0" xfId="0" applyAlignment="1" applyFont="1">
      <alignment horizontal="left" readingOrder="0" vertical="center"/>
    </xf>
    <xf borderId="0" fillId="0" fontId="11" numFmtId="0" xfId="0" applyAlignment="1" applyFont="1">
      <alignment horizontal="left" readingOrder="0" vertical="center"/>
    </xf>
    <xf borderId="0" fillId="4" fontId="11" numFmtId="0" xfId="0" applyAlignment="1" applyFont="1">
      <alignment horizontal="center" vertical="center"/>
    </xf>
    <xf borderId="0" fillId="4" fontId="11" numFmtId="0" xfId="0" applyAlignment="1" applyFont="1">
      <alignment horizontal="center" vertical="center"/>
    </xf>
    <xf borderId="0" fillId="0" fontId="11" numFmtId="0" xfId="0" applyAlignment="1" applyFont="1">
      <alignment horizontal="center" vertical="center"/>
    </xf>
    <xf borderId="0" fillId="0" fontId="11" numFmtId="0" xfId="0" applyAlignment="1" applyFont="1">
      <alignment horizontal="center" readingOrder="0" vertical="center"/>
    </xf>
    <xf borderId="0" fillId="0" fontId="4" numFmtId="0" xfId="0" applyAlignment="1" applyFont="1">
      <alignment horizontal="center" vertical="center"/>
    </xf>
    <xf borderId="2" fillId="0" fontId="4" numFmtId="0" xfId="0" applyAlignment="1" applyBorder="1" applyFont="1">
      <alignment vertical="center"/>
    </xf>
    <xf borderId="2" fillId="0" fontId="4" numFmtId="0" xfId="0" applyAlignment="1" applyBorder="1" applyFont="1">
      <alignment horizontal="left" vertical="center"/>
    </xf>
    <xf borderId="0" fillId="0" fontId="4" numFmtId="0" xfId="0" applyAlignment="1" applyFont="1">
      <alignment horizontal="left" vertical="center"/>
    </xf>
    <xf borderId="0" fillId="2" fontId="14" numFmtId="0" xfId="0" applyAlignment="1" applyFont="1">
      <alignment readingOrder="0" vertical="bottom"/>
    </xf>
    <xf borderId="0" fillId="2" fontId="14" numFmtId="0" xfId="0" applyAlignment="1" applyFont="1">
      <alignment readingOrder="0" shrinkToFit="0" vertical="center" wrapText="1"/>
    </xf>
    <xf borderId="0" fillId="2" fontId="14" numFmtId="0" xfId="0" applyAlignment="1" applyFont="1">
      <alignment horizontal="left" readingOrder="0" vertical="bottom"/>
    </xf>
    <xf borderId="0" fillId="2" fontId="14" numFmtId="0" xfId="0" applyAlignment="1" applyFont="1">
      <alignment horizontal="right" readingOrder="0" vertical="top"/>
    </xf>
    <xf borderId="0" fillId="2" fontId="15" numFmtId="0" xfId="0" applyAlignment="1" applyFont="1">
      <alignment horizontal="left" readingOrder="0" shrinkToFit="0" vertical="center" wrapText="1"/>
    </xf>
    <xf borderId="0" fillId="2" fontId="16" numFmtId="0" xfId="0" applyAlignment="1" applyFont="1">
      <alignment horizontal="right" readingOrder="0" vertical="bottom"/>
    </xf>
    <xf borderId="0" fillId="0" fontId="17" numFmtId="0" xfId="0" applyAlignment="1" applyFont="1">
      <alignment horizontal="left" shrinkToFit="0" vertical="bottom" wrapText="0"/>
    </xf>
    <xf borderId="0" fillId="0" fontId="17" numFmtId="0" xfId="0" applyAlignment="1" applyFont="1">
      <alignment horizontal="left" readingOrder="0" shrinkToFit="0" vertical="bottom" wrapText="0"/>
    </xf>
    <xf borderId="3" fillId="0" fontId="17" numFmtId="0" xfId="0" applyAlignment="1" applyBorder="1" applyFont="1">
      <alignment horizontal="center" readingOrder="0" shrinkToFit="0" vertical="bottom" wrapText="1"/>
    </xf>
    <xf borderId="3" fillId="0" fontId="17" numFmtId="0" xfId="0" applyAlignment="1" applyBorder="1" applyFont="1">
      <alignment horizontal="center" shrinkToFit="0" vertical="bottom" wrapText="1"/>
    </xf>
    <xf borderId="1" fillId="0" fontId="18" numFmtId="0" xfId="0" applyAlignment="1" applyBorder="1" applyFont="1">
      <alignment horizontal="left" vertical="top"/>
    </xf>
    <xf borderId="1" fillId="0" fontId="18" numFmtId="0" xfId="0" applyAlignment="1" applyBorder="1" applyFont="1">
      <alignment horizontal="left" readingOrder="0" shrinkToFit="0" vertical="top" wrapText="1"/>
    </xf>
    <xf borderId="1" fillId="0" fontId="18" numFmtId="0" xfId="0" applyAlignment="1" applyBorder="1" applyFont="1">
      <alignment horizontal="left" readingOrder="0" vertical="top"/>
    </xf>
    <xf borderId="4" fillId="0" fontId="18" numFmtId="0" xfId="0" applyAlignment="1" applyBorder="1" applyFont="1">
      <alignment horizontal="center" readingOrder="0" shrinkToFit="0" vertical="top" wrapText="1"/>
    </xf>
    <xf borderId="0" fillId="0" fontId="10" numFmtId="0" xfId="0" applyAlignment="1" applyFont="1">
      <alignment vertical="top"/>
    </xf>
    <xf borderId="0" fillId="0" fontId="10" numFmtId="2" xfId="0" applyAlignment="1" applyFont="1" applyNumberFormat="1">
      <alignment readingOrder="0" shrinkToFit="0" vertical="top" wrapText="1"/>
    </xf>
    <xf borderId="0" fillId="0" fontId="10" numFmtId="0" xfId="0" applyAlignment="1" applyFont="1">
      <alignment horizontal="right" readingOrder="0" shrinkToFit="0" vertical="top" wrapText="0"/>
    </xf>
    <xf borderId="0" fillId="0" fontId="10" numFmtId="0" xfId="0" applyAlignment="1" applyFont="1">
      <alignment horizontal="left" vertical="top"/>
    </xf>
    <xf borderId="5" fillId="0" fontId="10" numFmtId="0" xfId="0" applyAlignment="1" applyBorder="1" applyFont="1">
      <alignment horizontal="center" readingOrder="0" vertical="top"/>
    </xf>
    <xf borderId="3" fillId="0" fontId="10" numFmtId="0" xfId="0" applyAlignment="1" applyBorder="1" applyFont="1">
      <alignment horizontal="center" readingOrder="0" vertical="top"/>
    </xf>
    <xf borderId="6" fillId="0" fontId="10" numFmtId="0" xfId="0" applyAlignment="1" applyBorder="1" applyFont="1">
      <alignment horizontal="center" readingOrder="0" vertical="top"/>
    </xf>
    <xf borderId="0" fillId="2" fontId="19" numFmtId="0" xfId="0" applyAlignment="1" applyFont="1">
      <alignment horizontal="left" vertical="center"/>
    </xf>
    <xf borderId="0" fillId="2" fontId="20" numFmtId="0" xfId="0" applyAlignment="1" applyFont="1">
      <alignment horizontal="left" readingOrder="0" shrinkToFit="0" vertical="center" wrapText="1"/>
    </xf>
    <xf borderId="0" fillId="2" fontId="20" numFmtId="0" xfId="0" applyAlignment="1" applyFont="1">
      <alignment horizontal="left" vertical="center"/>
    </xf>
    <xf borderId="7" fillId="2" fontId="20" numFmtId="164" xfId="0" applyAlignment="1" applyBorder="1" applyFont="1" applyNumberFormat="1">
      <alignment horizontal="left" vertical="center"/>
    </xf>
    <xf borderId="8" fillId="2" fontId="20" numFmtId="165" xfId="0" applyAlignment="1" applyBorder="1" applyFont="1" applyNumberFormat="1">
      <alignment horizontal="center" vertical="center"/>
    </xf>
    <xf borderId="9" fillId="2" fontId="20" numFmtId="165" xfId="0" applyAlignment="1" applyBorder="1" applyFont="1" applyNumberFormat="1">
      <alignment horizontal="center" vertical="center"/>
    </xf>
    <xf borderId="0" fillId="0" fontId="4" numFmtId="0" xfId="0" applyAlignment="1" applyFont="1">
      <alignment readingOrder="0" vertical="center"/>
    </xf>
    <xf borderId="0" fillId="0" fontId="4" numFmtId="0" xfId="0" applyAlignment="1" applyFont="1">
      <alignment readingOrder="0" shrinkToFit="0" vertical="center" wrapText="1"/>
    </xf>
    <xf borderId="0" fillId="0" fontId="21" numFmtId="0" xfId="0" applyAlignment="1" applyFont="1">
      <alignment horizontal="left" vertical="center"/>
    </xf>
    <xf borderId="7" fillId="0" fontId="7" numFmtId="164" xfId="0" applyAlignment="1" applyBorder="1" applyFont="1" applyNumberFormat="1">
      <alignment horizontal="left" vertical="center"/>
    </xf>
    <xf borderId="5" fillId="0" fontId="11" numFmtId="0" xfId="0" applyAlignment="1" applyBorder="1" applyFont="1">
      <alignment horizontal="center" readingOrder="0" vertical="center"/>
    </xf>
    <xf borderId="3" fillId="0" fontId="11" numFmtId="0" xfId="0" applyAlignment="1" applyBorder="1" applyFont="1">
      <alignment horizontal="center" readingOrder="0" vertical="center"/>
    </xf>
    <xf borderId="3" fillId="0" fontId="11" numFmtId="0" xfId="0" applyAlignment="1" applyBorder="1" applyFont="1">
      <alignment horizontal="center" vertical="center"/>
    </xf>
    <xf borderId="0" fillId="5" fontId="8" numFmtId="0" xfId="0" applyAlignment="1" applyFill="1" applyFont="1">
      <alignment horizontal="left" vertical="bottom"/>
    </xf>
    <xf borderId="0" fillId="5" fontId="8" numFmtId="0" xfId="0" applyAlignment="1" applyFont="1">
      <alignment horizontal="left" shrinkToFit="0" vertical="bottom" wrapText="1"/>
    </xf>
    <xf borderId="0" fillId="5" fontId="8" numFmtId="164" xfId="0" applyAlignment="1" applyFont="1" applyNumberFormat="1">
      <alignment horizontal="left" vertical="bottom"/>
    </xf>
    <xf borderId="0" fillId="5" fontId="8" numFmtId="0" xfId="0" applyAlignment="1" applyFont="1">
      <alignment horizontal="center" vertical="bottom"/>
    </xf>
    <xf borderId="0" fillId="5" fontId="8" numFmtId="0" xfId="0" applyAlignment="1" applyFont="1">
      <alignment vertical="bottom"/>
    </xf>
    <xf borderId="0" fillId="2" fontId="22" numFmtId="0" xfId="0" applyAlignment="1" applyFont="1">
      <alignment vertical="bottom"/>
    </xf>
    <xf borderId="0" fillId="2" fontId="15" numFmtId="0" xfId="0" applyAlignment="1" applyFont="1">
      <alignment horizontal="left" readingOrder="0" shrinkToFit="0" vertical="center" wrapText="0"/>
    </xf>
    <xf borderId="0" fillId="2" fontId="16" numFmtId="0" xfId="0" applyAlignment="1" applyFont="1">
      <alignment horizontal="left" readingOrder="0" vertical="center"/>
    </xf>
    <xf borderId="0" fillId="2" fontId="22" numFmtId="14" xfId="0" applyAlignment="1" applyFont="1" applyNumberFormat="1">
      <alignment vertical="bottom"/>
    </xf>
    <xf borderId="0" fillId="0" fontId="23" numFmtId="0" xfId="0" applyAlignment="1" applyFont="1">
      <alignment vertical="top"/>
    </xf>
    <xf borderId="0" fillId="0" fontId="24" numFmtId="0" xfId="0" applyAlignment="1" applyFont="1">
      <alignment readingOrder="0" vertical="top"/>
    </xf>
    <xf borderId="0" fillId="3" fontId="25" numFmtId="0" xfId="0" applyAlignment="1" applyFont="1">
      <alignment vertical="bottom"/>
    </xf>
    <xf borderId="0" fillId="3" fontId="26" numFmtId="0" xfId="0" applyAlignment="1" applyFont="1">
      <alignment horizontal="left" readingOrder="0" shrinkToFit="0" vertical="center" wrapText="1"/>
    </xf>
    <xf borderId="0" fillId="3" fontId="27" numFmtId="0" xfId="0" applyAlignment="1" applyFont="1">
      <alignment horizontal="left" readingOrder="0" vertical="center"/>
    </xf>
    <xf borderId="1" fillId="0" fontId="7" numFmtId="0" xfId="0" applyAlignment="1" applyBorder="1" applyFont="1">
      <alignment horizontal="center" shrinkToFit="0" vertical="center" wrapText="1"/>
    </xf>
    <xf borderId="1" fillId="0" fontId="28"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1" fillId="0" fontId="28" numFmtId="0" xfId="0" applyAlignment="1" applyBorder="1" applyFont="1">
      <alignment horizontal="center" readingOrder="0" shrinkToFit="0" vertical="center" wrapText="1"/>
    </xf>
    <xf borderId="1" fillId="0" fontId="28" numFmtId="0" xfId="0" applyAlignment="1" applyBorder="1" applyFont="1">
      <alignment horizontal="center" shrinkToFit="0" vertical="center" wrapText="1"/>
    </xf>
    <xf borderId="0" fillId="0" fontId="29" numFmtId="9" xfId="0" applyAlignment="1" applyFont="1" applyNumberFormat="1">
      <alignment horizontal="center" vertical="center"/>
    </xf>
    <xf borderId="0" fillId="0" fontId="30" numFmtId="9" xfId="0" applyAlignment="1" applyFont="1" applyNumberFormat="1">
      <alignment horizontal="left" vertical="center"/>
    </xf>
    <xf borderId="0" fillId="0" fontId="30" numFmtId="0" xfId="0" applyAlignment="1" applyFont="1">
      <alignment horizontal="left" readingOrder="0" vertical="center"/>
    </xf>
    <xf borderId="10" fillId="0" fontId="29" numFmtId="164" xfId="0" applyAlignment="1" applyBorder="1" applyFont="1" applyNumberFormat="1">
      <alignment horizontal="left" vertical="center"/>
    </xf>
    <xf borderId="0" fillId="0" fontId="31" numFmtId="164" xfId="0" applyAlignment="1" applyFont="1" applyNumberFormat="1">
      <alignment horizontal="center" vertical="center"/>
    </xf>
    <xf borderId="0" fillId="0" fontId="31" numFmtId="9" xfId="0" applyAlignment="1" applyFont="1" applyNumberFormat="1">
      <alignment horizontal="center" vertical="center"/>
    </xf>
    <xf borderId="0" fillId="0" fontId="32" numFmtId="0" xfId="0" applyAlignment="1" applyFont="1">
      <alignment horizontal="center" vertical="center"/>
    </xf>
    <xf borderId="0" fillId="0" fontId="33" numFmtId="0" xfId="0" applyAlignment="1" applyFont="1">
      <alignment horizontal="left" shrinkToFit="0" vertical="center" wrapText="1"/>
    </xf>
    <xf borderId="0" fillId="0" fontId="33" numFmtId="0" xfId="0" applyAlignment="1" applyFont="1">
      <alignment horizontal="left" readingOrder="0" vertical="center"/>
    </xf>
    <xf borderId="10" fillId="0" fontId="32" numFmtId="164" xfId="0" applyAlignment="1" applyBorder="1" applyFont="1" applyNumberFormat="1">
      <alignment horizontal="left" vertical="center"/>
    </xf>
    <xf borderId="0" fillId="0" fontId="34" numFmtId="164" xfId="0" applyAlignment="1" applyFont="1" applyNumberFormat="1">
      <alignment horizontal="center" shrinkToFit="0" vertical="center" wrapText="1"/>
    </xf>
    <xf borderId="0" fillId="0" fontId="34" numFmtId="9" xfId="0" applyAlignment="1" applyFont="1" applyNumberFormat="1">
      <alignment horizontal="center" shrinkToFit="0" vertical="center" wrapText="1"/>
    </xf>
    <xf borderId="2" fillId="0" fontId="11" numFmtId="0" xfId="0" applyAlignment="1" applyBorder="1" applyFont="1">
      <alignment vertical="center"/>
    </xf>
    <xf borderId="2" fillId="0" fontId="12" numFmtId="0" xfId="0" applyAlignment="1" applyBorder="1" applyFont="1">
      <alignment readingOrder="0" vertical="center"/>
    </xf>
    <xf borderId="0" fillId="0" fontId="11" numFmtId="0" xfId="0" applyAlignment="1" applyFont="1">
      <alignment vertical="center"/>
    </xf>
    <xf borderId="0" fillId="0" fontId="12" numFmtId="0" xfId="0" applyAlignment="1" applyFont="1">
      <alignment readingOrder="0" vertical="center"/>
    </xf>
    <xf borderId="0" fillId="0" fontId="12" numFmtId="0" xfId="0" applyAlignment="1" applyFont="1">
      <alignment vertical="center"/>
    </xf>
    <xf borderId="0" fillId="0" fontId="11" numFmtId="0" xfId="0" applyAlignment="1" applyFont="1">
      <alignment horizontal="left" vertical="center"/>
    </xf>
    <xf borderId="0" fillId="0" fontId="12" numFmtId="0" xfId="0" applyAlignment="1" applyFont="1">
      <alignment horizontal="left" vertical="center"/>
    </xf>
    <xf borderId="0" fillId="5" fontId="4" numFmtId="0" xfId="0" applyAlignment="1" applyFont="1">
      <alignment vertical="bottom"/>
    </xf>
  </cellXfs>
  <cellStyles count="1">
    <cellStyle xfId="0" name="Normal" builtinId="0"/>
  </cellStyles>
  <dxfs count="1">
    <dxf>
      <font/>
      <fill>
        <patternFill patternType="solid">
          <fgColor rgb="FFF9F9F9"/>
          <bgColor rgb="FFF9F9F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8542"/>
          <c:y val="0.1295"/>
          <c:w val="0.85208"/>
          <c:h val="0.7554000000000001"/>
        </c:manualLayout>
      </c:layout>
      <c:barChart>
        <c:barDir val="col"/>
        <c:ser>
          <c:idx val="0"/>
          <c:order val="0"/>
          <c:spPr>
            <a:solidFill>
              <a:srgbClr val="A64D79"/>
            </a:solidFill>
            <a:ln cmpd="sng">
              <a:solidFill>
                <a:srgbClr val="000000"/>
              </a:solidFill>
            </a:ln>
          </c:spPr>
          <c:cat>
            <c:strRef>
              <c:f>'Vista general'!$F$8:$F$17</c:f>
            </c:strRef>
          </c:cat>
          <c:val>
            <c:numRef>
              <c:f>'Vista general'!$G$8:$G$17</c:f>
              <c:numCache/>
            </c:numRef>
          </c:val>
        </c:ser>
        <c:axId val="314070473"/>
        <c:axId val="2135228328"/>
      </c:barChart>
      <c:catAx>
        <c:axId val="314070473"/>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spPr/>
        <c:txPr>
          <a:bodyPr/>
          <a:lstStyle/>
          <a:p>
            <a:pPr lvl="0">
              <a:defRPr b="0" sz="1000">
                <a:solidFill>
                  <a:srgbClr val="000000"/>
                </a:solidFill>
                <a:latin typeface="Tahoma"/>
              </a:defRPr>
            </a:pPr>
          </a:p>
        </c:txPr>
        <c:crossAx val="2135228328"/>
      </c:catAx>
      <c:valAx>
        <c:axId val="213522832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200">
                    <a:solidFill>
                      <a:srgbClr val="000000"/>
                    </a:solidFill>
                    <a:latin typeface="Tahoma"/>
                  </a:defRPr>
                </a:pPr>
                <a:r>
                  <a:rPr b="0" sz="1200">
                    <a:solidFill>
                      <a:srgbClr val="000000"/>
                    </a:solidFill>
                    <a:latin typeface="Tahoma"/>
                  </a:rPr>
                  <a:t/>
                </a:r>
              </a:p>
            </c:rich>
          </c:tx>
          <c:overlay val="0"/>
        </c:title>
        <c:numFmt formatCode="General" sourceLinked="1"/>
        <c:majorTickMark val="none"/>
        <c:minorTickMark val="none"/>
        <c:tickLblPos val="nextTo"/>
        <c:spPr>
          <a:ln/>
        </c:spPr>
        <c:txPr>
          <a:bodyPr/>
          <a:lstStyle/>
          <a:p>
            <a:pPr lvl="0">
              <a:defRPr b="0" sz="1200">
                <a:solidFill>
                  <a:srgbClr val="000000"/>
                </a:solidFill>
                <a:latin typeface="Tahoma"/>
              </a:defRPr>
            </a:pPr>
          </a:p>
        </c:txPr>
        <c:crossAx val="314070473"/>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609"/>
          <c:y val="0.10345000000000001"/>
          <c:w val="0.7983499999999999"/>
          <c:h val="0.75479"/>
        </c:manualLayout>
      </c:layout>
      <c:barChart>
        <c:barDir val="bar"/>
        <c:ser>
          <c:idx val="0"/>
          <c:order val="0"/>
          <c:spPr>
            <a:solidFill>
              <a:srgbClr val="A64D79"/>
            </a:solidFill>
            <a:ln cmpd="sng">
              <a:solidFill>
                <a:srgbClr val="000000"/>
              </a:solidFill>
            </a:ln>
          </c:spPr>
          <c:cat>
            <c:strRef>
              <c:f>Notas!$E$2:$AB$2</c:f>
            </c:strRef>
          </c:cat>
          <c:val>
            <c:numRef>
              <c:f>Notas!$E$5:$AB$5</c:f>
              <c:numCache/>
            </c:numRef>
          </c:val>
        </c:ser>
        <c:axId val="2125530515"/>
        <c:axId val="633326372"/>
      </c:barChart>
      <c:catAx>
        <c:axId val="2125530515"/>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33326372"/>
      </c:catAx>
      <c:valAx>
        <c:axId val="633326372"/>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5530515"/>
        <c:crosses val="max"/>
      </c:valAx>
    </c:plotArea>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351"/>
          <c:y val="0.18059"/>
          <c:w val="0.89763"/>
          <c:h val="0.6172500000000001"/>
        </c:manualLayout>
      </c:layout>
      <c:lineChart>
        <c:ser>
          <c:idx val="0"/>
          <c:order val="0"/>
          <c:tx>
            <c:strRef>
              <c:f>'Informe individual'!$B$7</c:f>
            </c:strRef>
          </c:tx>
          <c:spPr>
            <a:ln cmpd="sng" w="19050">
              <a:solidFill>
                <a:srgbClr val="A64D79">
                  <a:alpha val="100000"/>
                </a:srgbClr>
              </a:solidFill>
            </a:ln>
          </c:spPr>
          <c:marker>
            <c:symbol val="none"/>
          </c:marker>
          <c:cat>
            <c:strRef>
              <c:f>'Informe individual'!$E$6:$AB$6</c:f>
            </c:strRef>
          </c:cat>
          <c:val>
            <c:numRef>
              <c:f>'Informe individual'!$E$7:$AB$7</c:f>
              <c:numCache/>
            </c:numRef>
          </c:val>
          <c:smooth val="0"/>
        </c:ser>
        <c:ser>
          <c:idx val="1"/>
          <c:order val="1"/>
          <c:tx>
            <c:strRef>
              <c:f>'Informe individual'!$B$8</c:f>
            </c:strRef>
          </c:tx>
          <c:spPr>
            <a:ln cmpd="sng" w="28575">
              <a:solidFill>
                <a:srgbClr val="351C75">
                  <a:alpha val="100000"/>
                </a:srgbClr>
              </a:solidFill>
            </a:ln>
          </c:spPr>
          <c:marker>
            <c:symbol val="none"/>
          </c:marker>
          <c:cat>
            <c:strRef>
              <c:f>'Informe individual'!$E$6:$AB$6</c:f>
            </c:strRef>
          </c:cat>
          <c:val>
            <c:numRef>
              <c:f>'Informe individual'!$E$8:$AB$8</c:f>
              <c:numCache/>
            </c:numRef>
          </c:val>
          <c:smooth val="0"/>
        </c:ser>
        <c:axId val="1277221091"/>
        <c:axId val="29154993"/>
      </c:lineChart>
      <c:catAx>
        <c:axId val="1277221091"/>
        <c:scaling>
          <c:orientation val="minMax"/>
        </c:scaling>
        <c:delete val="0"/>
        <c:axPos val="b"/>
        <c:title>
          <c:tx>
            <c:rich>
              <a:bodyPr/>
              <a:lstStyle/>
              <a:p>
                <a:pPr lvl="0">
                  <a:defRPr b="0" i="1" sz="1100">
                    <a:solidFill>
                      <a:srgbClr val="222222"/>
                    </a:solidFill>
                    <a:latin typeface="Arial"/>
                  </a:defRPr>
                </a:pPr>
                <a:r>
                  <a:rPr b="0" i="1" sz="1100">
                    <a:solidFill>
                      <a:srgbClr val="222222"/>
                    </a:solidFill>
                    <a:latin typeface="Arial"/>
                  </a:rPr>
                  <a:t/>
                </a:r>
              </a:p>
            </c:rich>
          </c:tx>
          <c:overlay val="0"/>
        </c:title>
        <c:numFmt formatCode="General" sourceLinked="1"/>
        <c:majorTickMark val="none"/>
        <c:minorTickMark val="none"/>
        <c:spPr/>
        <c:txPr>
          <a:bodyPr rot="-1800000"/>
          <a:lstStyle/>
          <a:p>
            <a:pPr lvl="0">
              <a:defRPr b="0" i="0" sz="1100">
                <a:solidFill>
                  <a:srgbClr val="434343"/>
                </a:solidFill>
                <a:latin typeface="Arial"/>
              </a:defRPr>
            </a:pPr>
          </a:p>
        </c:txPr>
        <c:crossAx val="29154993"/>
      </c:catAx>
      <c:valAx>
        <c:axId val="29154993"/>
        <c:scaling>
          <c:orientation val="minMax"/>
          <c:max val="1.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1" sz="1100">
                    <a:solidFill>
                      <a:srgbClr val="434343"/>
                    </a:solidFill>
                    <a:latin typeface="Arial"/>
                  </a:defRPr>
                </a:pPr>
                <a:r>
                  <a:rPr b="0" i="1" sz="1100">
                    <a:solidFill>
                      <a:srgbClr val="434343"/>
                    </a:solidFill>
                    <a:latin typeface="Arial"/>
                  </a:rPr>
                  <a:t/>
                </a:r>
              </a:p>
            </c:rich>
          </c:tx>
          <c:overlay val="0"/>
        </c:title>
        <c:numFmt formatCode="General" sourceLinked="1"/>
        <c:majorTickMark val="none"/>
        <c:minorTickMark val="none"/>
        <c:tickLblPos val="nextTo"/>
        <c:spPr>
          <a:ln/>
        </c:spPr>
        <c:txPr>
          <a:bodyPr/>
          <a:lstStyle/>
          <a:p>
            <a:pPr lvl="0">
              <a:defRPr b="0" sz="1100">
                <a:solidFill>
                  <a:srgbClr val="434343"/>
                </a:solidFill>
                <a:latin typeface="Arial"/>
              </a:defRPr>
            </a:pPr>
          </a:p>
        </c:txPr>
        <c:crossAx val="1277221091"/>
      </c:valAx>
    </c:plotArea>
    <c:legend>
      <c:legendPos val="t"/>
      <c:overlay val="0"/>
      <c:txPr>
        <a:bodyPr/>
        <a:lstStyle/>
        <a:p>
          <a:pPr lvl="0">
            <a:defRPr b="0" sz="1100">
              <a:solidFill>
                <a:srgbClr val="434343"/>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5</xdr:row>
      <xdr:rowOff>295275</xdr:rowOff>
    </xdr:from>
    <xdr:ext cx="3819525" cy="2476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0</xdr:colOff>
      <xdr:row>5</xdr:row>
      <xdr:rowOff>295275</xdr:rowOff>
    </xdr:from>
    <xdr:ext cx="4619625" cy="2466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xdr:row>
      <xdr:rowOff>19050</xdr:rowOff>
    </xdr:from>
    <xdr:ext cx="1003935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5.13"/>
    <col customWidth="1" min="3" max="3" width="1.13"/>
    <col customWidth="1" min="4" max="4" width="5.13"/>
    <col customWidth="1" min="5" max="5" width="2.13"/>
    <col customWidth="1" min="6" max="6" width="6.75"/>
    <col customWidth="1" min="7" max="7" width="12.13"/>
    <col customWidth="1" min="8" max="8" width="5.13"/>
    <col customWidth="1" min="9" max="13" width="10.13"/>
    <col customWidth="1" min="14" max="14" width="5.13"/>
    <col customWidth="1" min="15" max="20" width="10.13"/>
    <col customWidth="1" min="21" max="21" width="5.13"/>
  </cols>
  <sheetData>
    <row r="1" ht="36.0" customHeight="1">
      <c r="A1" s="1"/>
      <c r="B1" s="2" t="s">
        <v>0</v>
      </c>
      <c r="H1" s="1"/>
      <c r="I1" s="1"/>
      <c r="J1" s="1"/>
      <c r="K1" s="1"/>
      <c r="L1" s="1"/>
      <c r="M1" s="1"/>
      <c r="N1" s="1"/>
      <c r="O1" s="1"/>
      <c r="P1" s="1"/>
      <c r="Q1" s="1"/>
      <c r="R1" s="1"/>
      <c r="S1" s="1"/>
      <c r="T1" s="1"/>
      <c r="U1" s="1"/>
    </row>
    <row r="2" ht="36.0" customHeight="1">
      <c r="A2" s="3"/>
      <c r="B2" s="3" t="s">
        <v>1</v>
      </c>
      <c r="I2" s="3"/>
      <c r="J2" s="3"/>
      <c r="K2" s="3"/>
      <c r="L2" s="3"/>
      <c r="M2" s="3"/>
      <c r="N2" s="3"/>
      <c r="O2" s="3"/>
      <c r="P2" s="3"/>
      <c r="Q2" s="3"/>
      <c r="R2" s="3"/>
      <c r="S2" s="3"/>
      <c r="T2" s="3"/>
      <c r="U2" s="3"/>
    </row>
    <row r="3" ht="3.0" customHeight="1">
      <c r="A3" s="4"/>
      <c r="B3" s="5" t="s">
        <v>2</v>
      </c>
      <c r="N3" s="6"/>
      <c r="O3" s="6"/>
      <c r="P3" s="6"/>
      <c r="Q3" s="6"/>
      <c r="R3" s="6"/>
      <c r="S3" s="6"/>
      <c r="T3" s="6"/>
      <c r="U3" s="4"/>
    </row>
    <row r="4" ht="27.0" customHeight="1">
      <c r="A4" s="7"/>
      <c r="B4" s="7"/>
      <c r="C4" s="7"/>
      <c r="D4" s="8"/>
      <c r="E4" s="8"/>
      <c r="F4" s="9"/>
      <c r="G4" s="9"/>
      <c r="H4" s="9"/>
      <c r="I4" s="9"/>
      <c r="J4" s="9"/>
      <c r="K4" s="9"/>
      <c r="L4" s="7"/>
      <c r="M4" s="7"/>
      <c r="N4" s="7"/>
      <c r="O4" s="7"/>
      <c r="P4" s="7"/>
      <c r="Q4" s="7"/>
      <c r="R4" s="7"/>
      <c r="S4" s="7"/>
      <c r="T4" s="7"/>
      <c r="U4" s="7"/>
    </row>
    <row r="5" ht="17.25" customHeight="1">
      <c r="A5" s="10"/>
      <c r="B5" s="10" t="s">
        <v>3</v>
      </c>
      <c r="H5" s="10"/>
      <c r="I5" s="10" t="s">
        <v>4</v>
      </c>
      <c r="L5" s="10"/>
      <c r="M5" s="10"/>
      <c r="N5" s="10"/>
      <c r="O5" s="10" t="s">
        <v>5</v>
      </c>
      <c r="Q5" s="10"/>
      <c r="R5" s="10"/>
      <c r="S5" s="10"/>
      <c r="T5" s="10"/>
      <c r="U5" s="10"/>
    </row>
    <row r="6" ht="24.0" customHeight="1">
      <c r="A6" s="11"/>
      <c r="B6" s="12" t="s">
        <v>6</v>
      </c>
      <c r="C6" s="13"/>
      <c r="D6" s="13"/>
      <c r="E6" s="14"/>
      <c r="F6" s="12" t="s">
        <v>7</v>
      </c>
      <c r="G6" s="12" t="s">
        <v>8</v>
      </c>
      <c r="H6" s="15"/>
      <c r="I6" s="16" t="s">
        <v>9</v>
      </c>
      <c r="L6" s="11"/>
      <c r="M6" s="11"/>
      <c r="N6" s="11"/>
      <c r="O6" s="16" t="s">
        <v>10</v>
      </c>
      <c r="Q6" s="11"/>
      <c r="R6" s="11"/>
      <c r="S6" s="11"/>
      <c r="T6" s="11"/>
      <c r="U6" s="11"/>
    </row>
    <row r="7" ht="19.5" hidden="1" customHeight="1">
      <c r="A7" s="17"/>
      <c r="B7" s="18"/>
      <c r="C7" s="19"/>
      <c r="D7" s="19">
        <v>10000.0</v>
      </c>
      <c r="E7" s="20"/>
      <c r="F7" s="21" t="str">
        <f t="array" ref="F7">indirect("Overview!F8",TRUE)</f>
        <v>#REF!</v>
      </c>
      <c r="G7" s="22">
        <f>countif(StudentGrades,$F7)</f>
        <v>0</v>
      </c>
      <c r="H7" s="23"/>
      <c r="I7" s="23"/>
      <c r="J7" s="23"/>
      <c r="K7" s="23"/>
      <c r="L7" s="24"/>
      <c r="M7" s="24"/>
      <c r="N7" s="24"/>
      <c r="O7" s="24"/>
      <c r="P7" s="24"/>
      <c r="Q7" s="24"/>
      <c r="R7" s="24"/>
      <c r="S7" s="24"/>
      <c r="T7" s="24"/>
      <c r="U7" s="17"/>
    </row>
    <row r="8" ht="19.5" customHeight="1">
      <c r="A8" s="17"/>
      <c r="B8" s="25">
        <v>97.0</v>
      </c>
      <c r="C8" s="25" t="s">
        <v>11</v>
      </c>
      <c r="D8" s="25">
        <v>100.0</v>
      </c>
      <c r="E8" s="26"/>
      <c r="F8" s="27" t="s">
        <v>12</v>
      </c>
      <c r="G8" s="28">
        <f>countif(StudentGrades,$F8)</f>
        <v>0</v>
      </c>
      <c r="H8" s="29"/>
      <c r="I8" s="29"/>
      <c r="J8" s="29"/>
      <c r="K8" s="29"/>
      <c r="L8" s="24"/>
      <c r="M8" s="24"/>
      <c r="N8" s="24"/>
      <c r="O8" s="24"/>
      <c r="P8" s="24"/>
      <c r="Q8" s="24"/>
      <c r="R8" s="24"/>
      <c r="S8" s="24"/>
      <c r="T8" s="24"/>
      <c r="U8" s="17"/>
    </row>
    <row r="9" ht="19.5" customHeight="1">
      <c r="A9" s="17"/>
      <c r="B9" s="30">
        <v>93.0</v>
      </c>
      <c r="C9" s="25" t="s">
        <v>11</v>
      </c>
      <c r="D9" s="25">
        <v>96.0</v>
      </c>
      <c r="E9" s="26"/>
      <c r="F9" s="27" t="s">
        <v>13</v>
      </c>
      <c r="G9" s="28">
        <f>countif(StudentGrades,$F9)</f>
        <v>1</v>
      </c>
      <c r="H9" s="29"/>
      <c r="I9" s="29"/>
      <c r="J9" s="29"/>
      <c r="K9" s="29"/>
      <c r="L9" s="24"/>
      <c r="M9" s="24"/>
      <c r="N9" s="24"/>
      <c r="O9" s="24"/>
      <c r="P9" s="24"/>
      <c r="Q9" s="24"/>
      <c r="R9" s="24"/>
      <c r="S9" s="24"/>
      <c r="T9" s="24"/>
      <c r="U9" s="17"/>
    </row>
    <row r="10" ht="19.5" customHeight="1">
      <c r="A10" s="17"/>
      <c r="B10" s="30">
        <v>90.0</v>
      </c>
      <c r="C10" s="25" t="s">
        <v>11</v>
      </c>
      <c r="D10" s="31">
        <f t="shared" ref="D10:D17" si="1">B9-1</f>
        <v>92</v>
      </c>
      <c r="E10" s="26"/>
      <c r="F10" s="27" t="s">
        <v>14</v>
      </c>
      <c r="G10" s="28">
        <f>countif(StudentGrades,$F10)</f>
        <v>0</v>
      </c>
      <c r="H10" s="29"/>
      <c r="I10" s="29"/>
      <c r="J10" s="29"/>
      <c r="K10" s="29"/>
      <c r="L10" s="24"/>
      <c r="M10" s="24"/>
      <c r="N10" s="24"/>
      <c r="O10" s="24"/>
      <c r="P10" s="24"/>
      <c r="Q10" s="24"/>
      <c r="R10" s="24"/>
      <c r="S10" s="24"/>
      <c r="T10" s="24"/>
      <c r="U10" s="17"/>
    </row>
    <row r="11" ht="19.5" customHeight="1">
      <c r="A11" s="17"/>
      <c r="B11" s="30">
        <v>87.0</v>
      </c>
      <c r="C11" s="25" t="s">
        <v>11</v>
      </c>
      <c r="D11" s="31">
        <f t="shared" si="1"/>
        <v>89</v>
      </c>
      <c r="E11" s="26"/>
      <c r="F11" s="27" t="s">
        <v>15</v>
      </c>
      <c r="G11" s="28">
        <f>countif(StudentGrades,$F11)</f>
        <v>0</v>
      </c>
      <c r="H11" s="29"/>
      <c r="I11" s="29"/>
      <c r="J11" s="29"/>
      <c r="K11" s="29"/>
      <c r="L11" s="24"/>
      <c r="M11" s="24"/>
      <c r="N11" s="24"/>
      <c r="O11" s="24"/>
      <c r="P11" s="24"/>
      <c r="Q11" s="24"/>
      <c r="R11" s="24"/>
      <c r="S11" s="24"/>
      <c r="T11" s="24"/>
      <c r="U11" s="17"/>
    </row>
    <row r="12" ht="19.5" customHeight="1">
      <c r="A12" s="17"/>
      <c r="B12" s="30">
        <v>83.0</v>
      </c>
      <c r="C12" s="25" t="s">
        <v>11</v>
      </c>
      <c r="D12" s="31">
        <f t="shared" si="1"/>
        <v>86</v>
      </c>
      <c r="E12" s="26"/>
      <c r="F12" s="27" t="s">
        <v>16</v>
      </c>
      <c r="G12" s="28">
        <f>countif(StudentGrades,$F12)</f>
        <v>1</v>
      </c>
      <c r="H12" s="29"/>
      <c r="I12" s="29"/>
      <c r="J12" s="29"/>
      <c r="K12" s="29"/>
      <c r="L12" s="24"/>
      <c r="M12" s="24"/>
      <c r="N12" s="24"/>
      <c r="O12" s="24"/>
      <c r="P12" s="24"/>
      <c r="Q12" s="24"/>
      <c r="R12" s="24"/>
      <c r="S12" s="24"/>
      <c r="T12" s="24"/>
      <c r="U12" s="17"/>
    </row>
    <row r="13" ht="19.5" customHeight="1">
      <c r="A13" s="17"/>
      <c r="B13" s="30">
        <v>80.0</v>
      </c>
      <c r="C13" s="25" t="s">
        <v>11</v>
      </c>
      <c r="D13" s="31">
        <f t="shared" si="1"/>
        <v>82</v>
      </c>
      <c r="E13" s="26"/>
      <c r="F13" s="27" t="s">
        <v>17</v>
      </c>
      <c r="G13" s="28">
        <f>countif(StudentGrades,$F13)</f>
        <v>0</v>
      </c>
      <c r="H13" s="29"/>
      <c r="I13" s="29"/>
      <c r="J13" s="29"/>
      <c r="K13" s="29"/>
      <c r="L13" s="24"/>
      <c r="M13" s="24"/>
      <c r="N13" s="24"/>
      <c r="O13" s="24"/>
      <c r="P13" s="24"/>
      <c r="Q13" s="24"/>
      <c r="R13" s="24"/>
      <c r="S13" s="24"/>
      <c r="T13" s="24"/>
      <c r="U13" s="17"/>
    </row>
    <row r="14" ht="19.5" customHeight="1">
      <c r="A14" s="17"/>
      <c r="B14" s="30">
        <v>77.0</v>
      </c>
      <c r="C14" s="25" t="s">
        <v>11</v>
      </c>
      <c r="D14" s="31">
        <f t="shared" si="1"/>
        <v>79</v>
      </c>
      <c r="E14" s="26"/>
      <c r="F14" s="27" t="s">
        <v>18</v>
      </c>
      <c r="G14" s="28">
        <f>countif(StudentGrades,$F14)</f>
        <v>1</v>
      </c>
      <c r="H14" s="29"/>
      <c r="I14" s="29"/>
      <c r="J14" s="29"/>
      <c r="K14" s="29"/>
      <c r="L14" s="24"/>
      <c r="M14" s="24"/>
      <c r="N14" s="24"/>
      <c r="O14" s="24"/>
      <c r="P14" s="24"/>
      <c r="Q14" s="24"/>
      <c r="R14" s="24"/>
      <c r="S14" s="24"/>
      <c r="T14" s="24"/>
      <c r="U14" s="17"/>
    </row>
    <row r="15" ht="19.5" customHeight="1">
      <c r="A15" s="17"/>
      <c r="B15" s="30">
        <v>70.0</v>
      </c>
      <c r="C15" s="25" t="s">
        <v>11</v>
      </c>
      <c r="D15" s="31">
        <f t="shared" si="1"/>
        <v>76</v>
      </c>
      <c r="E15" s="26"/>
      <c r="F15" s="27" t="s">
        <v>19</v>
      </c>
      <c r="G15" s="28">
        <f>countif(StudentGrades,$F15)</f>
        <v>0</v>
      </c>
      <c r="H15" s="29"/>
      <c r="I15" s="29"/>
      <c r="J15" s="29"/>
      <c r="K15" s="29"/>
      <c r="L15" s="17"/>
      <c r="M15" s="17"/>
      <c r="N15" s="17"/>
      <c r="O15" s="17"/>
      <c r="P15" s="17"/>
      <c r="Q15" s="17"/>
      <c r="R15" s="17"/>
      <c r="S15" s="17"/>
      <c r="T15" s="17"/>
      <c r="U15" s="17"/>
    </row>
    <row r="16" ht="19.5" customHeight="1">
      <c r="A16" s="17"/>
      <c r="B16" s="30">
        <v>60.0</v>
      </c>
      <c r="C16" s="25" t="s">
        <v>11</v>
      </c>
      <c r="D16" s="31">
        <f t="shared" si="1"/>
        <v>69</v>
      </c>
      <c r="E16" s="26"/>
      <c r="F16" s="27" t="s">
        <v>20</v>
      </c>
      <c r="G16" s="28">
        <f>countif(StudentGrades,$F16)</f>
        <v>0</v>
      </c>
      <c r="H16" s="29"/>
      <c r="I16" s="29"/>
      <c r="J16" s="29"/>
      <c r="K16" s="29"/>
      <c r="L16" s="17"/>
      <c r="M16" s="17"/>
      <c r="N16" s="17"/>
      <c r="O16" s="17"/>
      <c r="P16" s="17"/>
      <c r="Q16" s="17"/>
      <c r="R16" s="17"/>
      <c r="S16" s="17"/>
      <c r="T16" s="17"/>
      <c r="U16" s="17"/>
    </row>
    <row r="17" ht="19.5" customHeight="1">
      <c r="A17" s="17"/>
      <c r="B17" s="25">
        <v>0.0</v>
      </c>
      <c r="C17" s="25" t="s">
        <v>11</v>
      </c>
      <c r="D17" s="31">
        <f t="shared" si="1"/>
        <v>59</v>
      </c>
      <c r="E17" s="26"/>
      <c r="F17" s="27" t="s">
        <v>21</v>
      </c>
      <c r="G17" s="28">
        <f>countif(StudentGrades,$F17)</f>
        <v>0</v>
      </c>
      <c r="H17" s="29"/>
      <c r="I17" s="29"/>
      <c r="J17" s="29"/>
      <c r="K17" s="29"/>
      <c r="L17" s="17"/>
      <c r="M17" s="17"/>
      <c r="N17" s="17"/>
      <c r="O17" s="17"/>
      <c r="P17" s="17"/>
      <c r="Q17" s="17"/>
      <c r="R17" s="17"/>
      <c r="S17" s="17"/>
      <c r="T17" s="17"/>
      <c r="U17" s="17"/>
    </row>
    <row r="18" ht="19.5" hidden="1" customHeight="1">
      <c r="A18" s="17"/>
      <c r="B18" s="32"/>
      <c r="C18" s="33"/>
      <c r="D18" s="33">
        <v>0.0</v>
      </c>
      <c r="E18" s="34"/>
      <c r="F18" s="23"/>
      <c r="G18" s="29"/>
      <c r="H18" s="29"/>
      <c r="I18" s="29"/>
      <c r="J18" s="29"/>
      <c r="K18" s="29"/>
      <c r="L18" s="17"/>
      <c r="M18" s="17"/>
      <c r="N18" s="17"/>
      <c r="O18" s="17"/>
      <c r="P18" s="17"/>
      <c r="Q18" s="17"/>
      <c r="R18" s="17"/>
      <c r="S18" s="17"/>
      <c r="T18" s="17"/>
      <c r="U18" s="17"/>
    </row>
    <row r="19" ht="30.0" customHeight="1">
      <c r="A19" s="17"/>
      <c r="B19" s="35"/>
      <c r="C19" s="35"/>
      <c r="D19" s="20"/>
      <c r="E19" s="20"/>
      <c r="F19" s="36"/>
      <c r="G19" s="36"/>
      <c r="H19" s="37"/>
      <c r="I19" s="37"/>
      <c r="J19" s="37"/>
      <c r="K19" s="37"/>
      <c r="L19" s="17"/>
      <c r="M19" s="17"/>
      <c r="N19" s="17"/>
      <c r="O19" s="17"/>
      <c r="P19" s="17"/>
      <c r="Q19" s="17"/>
      <c r="R19" s="17"/>
      <c r="S19" s="17"/>
      <c r="T19" s="17"/>
      <c r="U19" s="17"/>
    </row>
  </sheetData>
  <mergeCells count="9">
    <mergeCell ref="O6:P6"/>
    <mergeCell ref="O5:P5"/>
    <mergeCell ref="B2:H2"/>
    <mergeCell ref="B3:M3"/>
    <mergeCell ref="B5:G5"/>
    <mergeCell ref="B6:D6"/>
    <mergeCell ref="B1:G1"/>
    <mergeCell ref="I5:K5"/>
    <mergeCell ref="I6:K6"/>
  </mergeCells>
  <conditionalFormatting sqref="B7:G18">
    <cfRule type="expression" dxfId="0" priority="1">
      <formula>isodd(row(B7))</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2.13"/>
    <col customWidth="1" min="2" max="2" width="18.0"/>
    <col customWidth="1" min="3" max="4" width="5.75"/>
    <col customWidth="1" min="5" max="28" width="9.63"/>
  </cols>
  <sheetData>
    <row r="1" ht="63.75" customHeight="1">
      <c r="A1" s="38"/>
      <c r="B1" s="39"/>
      <c r="C1" s="40"/>
      <c r="D1" s="41"/>
      <c r="E1" s="42" t="s">
        <v>22</v>
      </c>
      <c r="R1" s="43"/>
      <c r="S1" s="43"/>
      <c r="T1" s="43"/>
      <c r="U1" s="43"/>
      <c r="V1" s="43"/>
      <c r="W1" s="43"/>
      <c r="X1" s="43"/>
      <c r="Y1" s="43"/>
      <c r="Z1" s="43"/>
      <c r="AA1" s="43"/>
      <c r="AB1" s="43"/>
    </row>
    <row r="2" ht="24.0" customHeight="1">
      <c r="A2" s="44"/>
      <c r="B2" s="45" t="s">
        <v>23</v>
      </c>
      <c r="C2" s="44"/>
      <c r="D2" s="45"/>
      <c r="E2" s="46" t="s">
        <v>24</v>
      </c>
      <c r="F2" s="46" t="s">
        <v>25</v>
      </c>
      <c r="G2" s="46" t="s">
        <v>26</v>
      </c>
      <c r="H2" s="47"/>
      <c r="I2" s="46"/>
      <c r="J2" s="46"/>
      <c r="K2" s="46"/>
      <c r="L2" s="46"/>
      <c r="M2" s="47"/>
      <c r="N2" s="47"/>
      <c r="O2" s="47"/>
      <c r="P2" s="47"/>
      <c r="Q2" s="47"/>
      <c r="R2" s="47"/>
      <c r="S2" s="47"/>
      <c r="T2" s="47"/>
      <c r="U2" s="47"/>
      <c r="V2" s="47"/>
      <c r="W2" s="47"/>
      <c r="X2" s="47"/>
      <c r="Y2" s="47"/>
      <c r="Z2" s="47"/>
      <c r="AA2" s="47"/>
      <c r="AB2" s="47"/>
    </row>
    <row r="3" ht="18.0" customHeight="1">
      <c r="A3" s="48"/>
      <c r="B3" s="49" t="s">
        <v>27</v>
      </c>
      <c r="C3" s="50"/>
      <c r="D3" s="48"/>
      <c r="E3" s="51">
        <v>10.0</v>
      </c>
      <c r="F3" s="51">
        <v>25.0</v>
      </c>
      <c r="G3" s="51">
        <v>50.0</v>
      </c>
      <c r="H3" s="51"/>
      <c r="I3" s="51"/>
      <c r="J3" s="51"/>
      <c r="K3" s="51"/>
      <c r="L3" s="51"/>
      <c r="M3" s="51"/>
      <c r="N3" s="51"/>
      <c r="O3" s="51"/>
      <c r="P3" s="51"/>
      <c r="Q3" s="51"/>
      <c r="R3" s="51"/>
      <c r="S3" s="51"/>
      <c r="T3" s="51"/>
      <c r="U3" s="51"/>
      <c r="V3" s="51"/>
      <c r="W3" s="51"/>
      <c r="X3" s="51"/>
      <c r="Y3" s="51"/>
      <c r="Z3" s="51"/>
      <c r="AA3" s="51"/>
      <c r="AB3" s="51"/>
    </row>
    <row r="4" ht="18.0" hidden="1" customHeight="1">
      <c r="A4" s="52"/>
      <c r="B4" s="53"/>
      <c r="C4" s="54" t="s">
        <v>28</v>
      </c>
      <c r="D4" s="55">
        <f>if(sumifs(E3:AB3,E5:AB5,"&gt;=0")=0,1,sumifs(E3:AB3,E5:AB5,"&gt;=0"))</f>
        <v>85</v>
      </c>
      <c r="E4" s="56"/>
      <c r="F4" s="57"/>
      <c r="G4" s="57"/>
      <c r="H4" s="57"/>
      <c r="I4" s="57"/>
      <c r="J4" s="57"/>
      <c r="K4" s="57"/>
      <c r="L4" s="57"/>
      <c r="M4" s="57"/>
      <c r="N4" s="57"/>
      <c r="O4" s="57"/>
      <c r="P4" s="57"/>
      <c r="Q4" s="57"/>
      <c r="R4" s="57"/>
      <c r="S4" s="57"/>
      <c r="T4" s="57"/>
      <c r="U4" s="57"/>
      <c r="V4" s="57"/>
      <c r="W4" s="57"/>
      <c r="X4" s="57"/>
      <c r="Y4" s="57"/>
      <c r="Z4" s="57"/>
      <c r="AA4" s="57"/>
      <c r="AB4" s="58"/>
    </row>
    <row r="5" ht="22.5" customHeight="1">
      <c r="A5" s="59"/>
      <c r="B5" s="60" t="s">
        <v>29</v>
      </c>
      <c r="C5" s="61" t="str">
        <f t="array" ref="C5">iferror(index(Grades, match($D5*100,GradeRange,-1), 1),0)</f>
        <v>NOT</v>
      </c>
      <c r="D5" s="62">
        <f>iferror(sum($E5:$AB5)/TotalPoints,0)</f>
        <v>0.8549019608</v>
      </c>
      <c r="E5" s="63">
        <f t="shared" ref="E5:AB5" si="1">iferror(average(E6:E45),"")</f>
        <v>8.333333333</v>
      </c>
      <c r="F5" s="64">
        <f t="shared" si="1"/>
        <v>23</v>
      </c>
      <c r="G5" s="64">
        <f t="shared" si="1"/>
        <v>41.33333333</v>
      </c>
      <c r="H5" s="64" t="str">
        <f t="shared" si="1"/>
        <v/>
      </c>
      <c r="I5" s="64" t="str">
        <f t="shared" si="1"/>
        <v/>
      </c>
      <c r="J5" s="64" t="str">
        <f t="shared" si="1"/>
        <v/>
      </c>
      <c r="K5" s="64" t="str">
        <f t="shared" si="1"/>
        <v/>
      </c>
      <c r="L5" s="64" t="str">
        <f t="shared" si="1"/>
        <v/>
      </c>
      <c r="M5" s="64" t="str">
        <f t="shared" si="1"/>
        <v/>
      </c>
      <c r="N5" s="64" t="str">
        <f t="shared" si="1"/>
        <v/>
      </c>
      <c r="O5" s="64" t="str">
        <f t="shared" si="1"/>
        <v/>
      </c>
      <c r="P5" s="64" t="str">
        <f t="shared" si="1"/>
        <v/>
      </c>
      <c r="Q5" s="64" t="str">
        <f t="shared" si="1"/>
        <v/>
      </c>
      <c r="R5" s="64" t="str">
        <f t="shared" si="1"/>
        <v/>
      </c>
      <c r="S5" s="64" t="str">
        <f t="shared" si="1"/>
        <v/>
      </c>
      <c r="T5" s="64" t="str">
        <f t="shared" si="1"/>
        <v/>
      </c>
      <c r="U5" s="64" t="str">
        <f t="shared" si="1"/>
        <v/>
      </c>
      <c r="V5" s="64" t="str">
        <f t="shared" si="1"/>
        <v/>
      </c>
      <c r="W5" s="64" t="str">
        <f t="shared" si="1"/>
        <v/>
      </c>
      <c r="X5" s="64" t="str">
        <f t="shared" si="1"/>
        <v/>
      </c>
      <c r="Y5" s="64" t="str">
        <f t="shared" si="1"/>
        <v/>
      </c>
      <c r="Z5" s="64" t="str">
        <f t="shared" si="1"/>
        <v/>
      </c>
      <c r="AA5" s="64" t="str">
        <f t="shared" si="1"/>
        <v/>
      </c>
      <c r="AB5" s="64" t="str">
        <f t="shared" si="1"/>
        <v/>
      </c>
    </row>
    <row r="6" ht="19.5" customHeight="1">
      <c r="A6" s="65"/>
      <c r="B6" s="66" t="s">
        <v>30</v>
      </c>
      <c r="C6" s="67" t="str">
        <f t="array" ref="C6">index(Grades, match($D6*100,GradeRange,-1), 1)</f>
        <v>NOT</v>
      </c>
      <c r="D6" s="68">
        <f>sum($E6:$AB6)/TotalPoints</f>
        <v>0.8235294118</v>
      </c>
      <c r="E6" s="69">
        <v>10.0</v>
      </c>
      <c r="F6" s="69">
        <v>25.0</v>
      </c>
      <c r="G6" s="69">
        <v>35.0</v>
      </c>
      <c r="H6" s="69"/>
      <c r="I6" s="69"/>
      <c r="J6" s="69"/>
      <c r="K6" s="69"/>
      <c r="L6" s="69"/>
      <c r="M6" s="70"/>
      <c r="N6" s="69"/>
      <c r="O6" s="69"/>
      <c r="P6" s="69"/>
      <c r="Q6" s="69"/>
      <c r="R6" s="70"/>
      <c r="S6" s="70"/>
      <c r="T6" s="70"/>
      <c r="U6" s="70"/>
      <c r="V6" s="70"/>
      <c r="W6" s="70"/>
      <c r="X6" s="70"/>
      <c r="Y6" s="70"/>
      <c r="Z6" s="70"/>
      <c r="AA6" s="70"/>
      <c r="AB6" s="70"/>
    </row>
    <row r="7" ht="19.5" customHeight="1">
      <c r="A7" s="65"/>
      <c r="B7" s="66" t="s">
        <v>31</v>
      </c>
      <c r="C7" s="67" t="str">
        <f t="array" ref="C7">index(Grades, match($D7*100,GradeRange,-1), 1)</f>
        <v>BIEN+</v>
      </c>
      <c r="D7" s="68">
        <f>sum($E7:$AB7)/TotalPoints</f>
        <v>0.7882352941</v>
      </c>
      <c r="E7" s="69">
        <v>7.0</v>
      </c>
      <c r="F7" s="69">
        <v>20.0</v>
      </c>
      <c r="G7" s="69">
        <v>40.0</v>
      </c>
      <c r="H7" s="69"/>
      <c r="I7" s="69"/>
      <c r="J7" s="69"/>
      <c r="K7" s="69"/>
      <c r="L7" s="69"/>
      <c r="M7" s="70"/>
      <c r="N7" s="69"/>
      <c r="O7" s="69"/>
      <c r="P7" s="69"/>
      <c r="Q7" s="69"/>
      <c r="R7" s="70"/>
      <c r="S7" s="70"/>
      <c r="T7" s="70"/>
      <c r="U7" s="70"/>
      <c r="V7" s="70"/>
      <c r="W7" s="70"/>
      <c r="X7" s="70"/>
      <c r="Y7" s="70"/>
      <c r="Z7" s="70"/>
      <c r="AA7" s="70"/>
      <c r="AB7" s="70"/>
    </row>
    <row r="8" ht="19.5" customHeight="1">
      <c r="A8" s="65"/>
      <c r="B8" s="66" t="s">
        <v>32</v>
      </c>
      <c r="C8" s="67" t="str">
        <f t="array" ref="C8">index(Grades, match($D8*100,GradeRange,-1), 1)</f>
        <v>SOB</v>
      </c>
      <c r="D8" s="68">
        <f>sum($E8:$AB8)/TotalPoints</f>
        <v>0.9529411765</v>
      </c>
      <c r="E8" s="69">
        <v>8.0</v>
      </c>
      <c r="F8" s="69">
        <v>24.0</v>
      </c>
      <c r="G8" s="69">
        <v>49.0</v>
      </c>
      <c r="H8" s="69"/>
      <c r="I8" s="69"/>
      <c r="J8" s="69"/>
      <c r="K8" s="69"/>
      <c r="L8" s="69"/>
      <c r="M8" s="70"/>
      <c r="N8" s="69"/>
      <c r="O8" s="69"/>
      <c r="P8" s="69"/>
      <c r="Q8" s="69"/>
      <c r="R8" s="70"/>
      <c r="S8" s="70"/>
      <c r="T8" s="70"/>
      <c r="U8" s="70"/>
      <c r="V8" s="70"/>
      <c r="W8" s="70"/>
      <c r="X8" s="70"/>
      <c r="Y8" s="70"/>
      <c r="Z8" s="70"/>
      <c r="AA8" s="70"/>
      <c r="AB8" s="70"/>
    </row>
    <row r="9" ht="19.5" customHeight="1">
      <c r="A9" s="65"/>
      <c r="B9" s="66"/>
      <c r="C9" s="67" t="str">
        <f t="array" ref="C9">index(Grades, match($D9*100,GradeRange,-1), 1)</f>
        <v/>
      </c>
      <c r="D9" s="68">
        <f>sum($E9:$AB9)/TotalPoints</f>
        <v>0</v>
      </c>
      <c r="E9" s="69"/>
      <c r="F9" s="69"/>
      <c r="G9" s="69"/>
      <c r="H9" s="69"/>
      <c r="I9" s="69"/>
      <c r="J9" s="69"/>
      <c r="K9" s="69"/>
      <c r="L9" s="69"/>
      <c r="M9" s="70"/>
      <c r="N9" s="69"/>
      <c r="O9" s="69"/>
      <c r="P9" s="69"/>
      <c r="Q9" s="69"/>
      <c r="R9" s="70"/>
      <c r="S9" s="70"/>
      <c r="T9" s="70"/>
      <c r="U9" s="70"/>
      <c r="V9" s="70"/>
      <c r="W9" s="70"/>
      <c r="X9" s="70"/>
      <c r="Y9" s="70"/>
      <c r="Z9" s="70"/>
      <c r="AA9" s="70"/>
      <c r="AB9" s="70"/>
    </row>
    <row r="10" ht="19.5" customHeight="1">
      <c r="A10" s="65"/>
      <c r="B10" s="66"/>
      <c r="C10" s="67" t="str">
        <f t="array" ref="C10">index(Grades, match($D10*100,GradeRange,-1), 1)</f>
        <v/>
      </c>
      <c r="D10" s="68">
        <f>sum($E10:$AB10)/TotalPoints</f>
        <v>0</v>
      </c>
      <c r="E10" s="69"/>
      <c r="F10" s="69"/>
      <c r="G10" s="69"/>
      <c r="H10" s="69"/>
      <c r="I10" s="69"/>
      <c r="J10" s="69"/>
      <c r="K10" s="69"/>
      <c r="L10" s="69"/>
      <c r="M10" s="71"/>
      <c r="N10" s="69"/>
      <c r="O10" s="69"/>
      <c r="P10" s="69"/>
      <c r="Q10" s="69"/>
      <c r="R10" s="70"/>
      <c r="S10" s="70"/>
      <c r="T10" s="70"/>
      <c r="U10" s="70"/>
      <c r="V10" s="70"/>
      <c r="W10" s="70"/>
      <c r="X10" s="70"/>
      <c r="Y10" s="70"/>
      <c r="Z10" s="70"/>
      <c r="AA10" s="70"/>
      <c r="AB10" s="70"/>
    </row>
    <row r="11" ht="19.5" customHeight="1">
      <c r="A11" s="65"/>
      <c r="B11" s="66"/>
      <c r="C11" s="67" t="str">
        <f t="array" ref="C11">index(Grades, match($D11*100,GradeRange,-1), 1)</f>
        <v/>
      </c>
      <c r="D11" s="68">
        <f>sum($E11:$AB11)/TotalPoints</f>
        <v>0</v>
      </c>
      <c r="E11" s="69"/>
      <c r="F11" s="69"/>
      <c r="G11" s="69"/>
      <c r="H11" s="69"/>
      <c r="I11" s="69"/>
      <c r="J11" s="69"/>
      <c r="K11" s="69"/>
      <c r="L11" s="69"/>
      <c r="M11" s="70"/>
      <c r="N11" s="69"/>
      <c r="O11" s="69"/>
      <c r="P11" s="69"/>
      <c r="Q11" s="69"/>
      <c r="R11" s="70"/>
      <c r="S11" s="70"/>
      <c r="T11" s="70"/>
      <c r="U11" s="70"/>
      <c r="V11" s="70"/>
      <c r="W11" s="70"/>
      <c r="X11" s="70"/>
      <c r="Y11" s="70"/>
      <c r="Z11" s="70"/>
      <c r="AA11" s="70"/>
      <c r="AB11" s="70"/>
    </row>
    <row r="12" ht="19.5" customHeight="1">
      <c r="A12" s="65"/>
      <c r="B12" s="66"/>
      <c r="C12" s="67" t="str">
        <f t="array" ref="C12">index(Grades, match($D12*100,GradeRange,-1), 1)</f>
        <v/>
      </c>
      <c r="D12" s="68">
        <f>sum($E12:$AB12)/TotalPoints</f>
        <v>0</v>
      </c>
      <c r="E12" s="69"/>
      <c r="F12" s="69"/>
      <c r="G12" s="69"/>
      <c r="H12" s="69"/>
      <c r="I12" s="69"/>
      <c r="J12" s="69"/>
      <c r="K12" s="69"/>
      <c r="L12" s="69"/>
      <c r="M12" s="71"/>
      <c r="N12" s="69"/>
      <c r="O12" s="69"/>
      <c r="P12" s="69"/>
      <c r="Q12" s="69"/>
      <c r="R12" s="70"/>
      <c r="S12" s="70"/>
      <c r="T12" s="70"/>
      <c r="U12" s="70"/>
      <c r="V12" s="70"/>
      <c r="W12" s="70"/>
      <c r="X12" s="70"/>
      <c r="Y12" s="70"/>
      <c r="Z12" s="70"/>
      <c r="AA12" s="70"/>
      <c r="AB12" s="70"/>
    </row>
    <row r="13" ht="19.5" customHeight="1">
      <c r="A13" s="65"/>
      <c r="B13" s="66"/>
      <c r="C13" s="67" t="str">
        <f t="array" ref="C13">index(Grades, match($D13*100,GradeRange,-1), 1)</f>
        <v/>
      </c>
      <c r="D13" s="68">
        <f>sum($E13:$AB13)/TotalPoints</f>
        <v>0</v>
      </c>
      <c r="E13" s="69"/>
      <c r="F13" s="69"/>
      <c r="G13" s="69"/>
      <c r="H13" s="69"/>
      <c r="I13" s="69"/>
      <c r="J13" s="69"/>
      <c r="K13" s="69"/>
      <c r="L13" s="69"/>
      <c r="M13" s="70"/>
      <c r="N13" s="69"/>
      <c r="O13" s="69"/>
      <c r="P13" s="69"/>
      <c r="Q13" s="69"/>
      <c r="R13" s="70"/>
      <c r="S13" s="70"/>
      <c r="T13" s="70"/>
      <c r="U13" s="70"/>
      <c r="V13" s="70"/>
      <c r="W13" s="70"/>
      <c r="X13" s="70"/>
      <c r="Y13" s="70"/>
      <c r="Z13" s="70"/>
      <c r="AA13" s="70"/>
      <c r="AB13" s="70"/>
    </row>
    <row r="14" ht="19.5" customHeight="1">
      <c r="A14" s="65"/>
      <c r="B14" s="66"/>
      <c r="C14" s="67" t="str">
        <f t="array" ref="C14">index(Grades, match($D14*100,GradeRange,-1), 1)</f>
        <v/>
      </c>
      <c r="D14" s="68">
        <f>sum($E14:$AB14)/TotalPoints</f>
        <v>0</v>
      </c>
      <c r="E14" s="69"/>
      <c r="F14" s="69"/>
      <c r="G14" s="69"/>
      <c r="H14" s="69"/>
      <c r="I14" s="69"/>
      <c r="J14" s="69"/>
      <c r="K14" s="69"/>
      <c r="L14" s="69"/>
      <c r="M14" s="71"/>
      <c r="N14" s="69"/>
      <c r="O14" s="69"/>
      <c r="P14" s="69"/>
      <c r="Q14" s="69"/>
      <c r="R14" s="70"/>
      <c r="S14" s="70"/>
      <c r="T14" s="70"/>
      <c r="U14" s="70"/>
      <c r="V14" s="70"/>
      <c r="W14" s="70"/>
      <c r="X14" s="70"/>
      <c r="Y14" s="70"/>
      <c r="Z14" s="70"/>
      <c r="AA14" s="70"/>
      <c r="AB14" s="70"/>
    </row>
    <row r="15" ht="19.5" customHeight="1">
      <c r="A15" s="65"/>
      <c r="B15" s="66"/>
      <c r="C15" s="67" t="str">
        <f t="array" ref="C15">index(Grades, match($D15*100,GradeRange,-1), 1)</f>
        <v/>
      </c>
      <c r="D15" s="68">
        <f>sum($E15:$AB15)/TotalPoints</f>
        <v>0</v>
      </c>
      <c r="E15" s="69"/>
      <c r="F15" s="69"/>
      <c r="G15" s="69"/>
      <c r="H15" s="69"/>
      <c r="I15" s="69"/>
      <c r="J15" s="69"/>
      <c r="K15" s="69"/>
      <c r="L15" s="69"/>
      <c r="M15" s="71"/>
      <c r="N15" s="69"/>
      <c r="O15" s="69"/>
      <c r="P15" s="69"/>
      <c r="Q15" s="69"/>
      <c r="R15" s="70"/>
      <c r="S15" s="70"/>
      <c r="T15" s="70"/>
      <c r="U15" s="70"/>
      <c r="V15" s="70"/>
      <c r="W15" s="70"/>
      <c r="X15" s="70"/>
      <c r="Y15" s="70"/>
      <c r="Z15" s="70"/>
      <c r="AA15" s="70"/>
      <c r="AB15" s="70"/>
    </row>
    <row r="16" ht="19.5" customHeight="1">
      <c r="A16" s="65"/>
      <c r="B16" s="66"/>
      <c r="C16" s="67" t="str">
        <f t="array" ref="C16">index(Grades, match($D16*100,GradeRange,-1), 1)</f>
        <v/>
      </c>
      <c r="D16" s="68">
        <f>sum($E16:$AB16)/TotalPoints</f>
        <v>0</v>
      </c>
      <c r="E16" s="69"/>
      <c r="F16" s="69"/>
      <c r="G16" s="69"/>
      <c r="H16" s="69"/>
      <c r="I16" s="69"/>
      <c r="J16" s="69"/>
      <c r="K16" s="69"/>
      <c r="L16" s="69"/>
      <c r="M16" s="71"/>
      <c r="N16" s="69"/>
      <c r="O16" s="69"/>
      <c r="P16" s="69"/>
      <c r="Q16" s="69"/>
      <c r="R16" s="70"/>
      <c r="S16" s="70"/>
      <c r="T16" s="70"/>
      <c r="U16" s="70"/>
      <c r="V16" s="70"/>
      <c r="W16" s="70"/>
      <c r="X16" s="70"/>
      <c r="Y16" s="70"/>
      <c r="Z16" s="70"/>
      <c r="AA16" s="70"/>
      <c r="AB16" s="70"/>
    </row>
    <row r="17" ht="19.5" customHeight="1">
      <c r="A17" s="65"/>
      <c r="B17" s="66"/>
      <c r="C17" s="67" t="str">
        <f t="array" ref="C17">index(Grades, match($D17*100,GradeRange,-1), 1)</f>
        <v/>
      </c>
      <c r="D17" s="68">
        <f>sum($E17:$AB17)/TotalPoints</f>
        <v>0</v>
      </c>
      <c r="E17" s="69"/>
      <c r="F17" s="69"/>
      <c r="G17" s="69"/>
      <c r="H17" s="69"/>
      <c r="I17" s="69"/>
      <c r="J17" s="69"/>
      <c r="K17" s="69"/>
      <c r="L17" s="69"/>
      <c r="M17" s="71"/>
      <c r="N17" s="69"/>
      <c r="O17" s="69"/>
      <c r="P17" s="69"/>
      <c r="Q17" s="69"/>
      <c r="R17" s="70"/>
      <c r="S17" s="70"/>
      <c r="T17" s="70"/>
      <c r="U17" s="70"/>
      <c r="V17" s="70"/>
      <c r="W17" s="70"/>
      <c r="X17" s="70"/>
      <c r="Y17" s="70"/>
      <c r="Z17" s="70"/>
      <c r="AA17" s="70"/>
      <c r="AB17" s="70"/>
    </row>
    <row r="18" ht="19.5" customHeight="1">
      <c r="A18" s="65"/>
      <c r="B18" s="66"/>
      <c r="C18" s="67" t="str">
        <f t="array" ref="C18">index(Grades, match($D18*100,GradeRange,-1), 1)</f>
        <v/>
      </c>
      <c r="D18" s="68">
        <f>sum($E18:$AB18)/TotalPoints</f>
        <v>0</v>
      </c>
      <c r="E18" s="69"/>
      <c r="F18" s="69"/>
      <c r="G18" s="69"/>
      <c r="H18" s="69"/>
      <c r="I18" s="69"/>
      <c r="J18" s="69"/>
      <c r="K18" s="69"/>
      <c r="L18" s="69"/>
      <c r="M18" s="71"/>
      <c r="N18" s="69"/>
      <c r="O18" s="69"/>
      <c r="P18" s="69"/>
      <c r="Q18" s="69"/>
      <c r="R18" s="70"/>
      <c r="S18" s="70"/>
      <c r="T18" s="70"/>
      <c r="U18" s="70"/>
      <c r="V18" s="70"/>
      <c r="W18" s="70"/>
      <c r="X18" s="70"/>
      <c r="Y18" s="70"/>
      <c r="Z18" s="70"/>
      <c r="AA18" s="70"/>
      <c r="AB18" s="70"/>
    </row>
    <row r="19" ht="19.5" customHeight="1">
      <c r="A19" s="65"/>
      <c r="B19" s="66"/>
      <c r="C19" s="67" t="str">
        <f t="array" ref="C19">index(Grades, match($D19*100,GradeRange,-1), 1)</f>
        <v/>
      </c>
      <c r="D19" s="68">
        <f>sum($E19:$AB19)/TotalPoints</f>
        <v>0</v>
      </c>
      <c r="E19" s="69"/>
      <c r="F19" s="69"/>
      <c r="G19" s="69"/>
      <c r="H19" s="69"/>
      <c r="I19" s="69"/>
      <c r="J19" s="69"/>
      <c r="K19" s="69"/>
      <c r="L19" s="69"/>
      <c r="M19" s="71"/>
      <c r="N19" s="69"/>
      <c r="O19" s="69"/>
      <c r="P19" s="69"/>
      <c r="Q19" s="69"/>
      <c r="R19" s="70"/>
      <c r="S19" s="70"/>
      <c r="T19" s="70"/>
      <c r="U19" s="70"/>
      <c r="V19" s="70"/>
      <c r="W19" s="70"/>
      <c r="X19" s="70"/>
      <c r="Y19" s="70"/>
      <c r="Z19" s="70"/>
      <c r="AA19" s="70"/>
      <c r="AB19" s="70"/>
    </row>
    <row r="20" ht="19.5" customHeight="1">
      <c r="A20" s="65"/>
      <c r="B20" s="66"/>
      <c r="C20" s="67" t="str">
        <f t="array" ref="C20">index(Grades, match($D20*100,GradeRange,-1), 1)</f>
        <v/>
      </c>
      <c r="D20" s="68">
        <f>sum($E20:$AB20)/TotalPoints</f>
        <v>0</v>
      </c>
      <c r="E20" s="69"/>
      <c r="F20" s="69"/>
      <c r="G20" s="69"/>
      <c r="H20" s="69"/>
      <c r="I20" s="69"/>
      <c r="J20" s="69"/>
      <c r="K20" s="69"/>
      <c r="L20" s="69"/>
      <c r="M20" s="71"/>
      <c r="N20" s="69"/>
      <c r="O20" s="69"/>
      <c r="P20" s="69"/>
      <c r="Q20" s="69"/>
      <c r="R20" s="70"/>
      <c r="S20" s="70"/>
      <c r="T20" s="70"/>
      <c r="U20" s="70"/>
      <c r="V20" s="70"/>
      <c r="W20" s="70"/>
      <c r="X20" s="70"/>
      <c r="Y20" s="70"/>
      <c r="Z20" s="70"/>
      <c r="AA20" s="70"/>
      <c r="AB20" s="70"/>
    </row>
    <row r="21" ht="19.5" customHeight="1">
      <c r="A21" s="65"/>
      <c r="B21" s="66"/>
      <c r="C21" s="67" t="str">
        <f t="array" ref="C21">index(Grades, match($D21*100,GradeRange,-1), 1)</f>
        <v/>
      </c>
      <c r="D21" s="68">
        <f>sum($E21:$AB21)/TotalPoints</f>
        <v>0</v>
      </c>
      <c r="E21" s="69"/>
      <c r="F21" s="69"/>
      <c r="G21" s="69"/>
      <c r="H21" s="69"/>
      <c r="I21" s="69"/>
      <c r="J21" s="69"/>
      <c r="K21" s="69"/>
      <c r="L21" s="69"/>
      <c r="M21" s="71"/>
      <c r="N21" s="69"/>
      <c r="O21" s="69"/>
      <c r="P21" s="69"/>
      <c r="Q21" s="69"/>
      <c r="R21" s="70"/>
      <c r="S21" s="70"/>
      <c r="T21" s="70"/>
      <c r="U21" s="70"/>
      <c r="V21" s="70"/>
      <c r="W21" s="70"/>
      <c r="X21" s="70"/>
      <c r="Y21" s="70"/>
      <c r="Z21" s="70"/>
      <c r="AA21" s="70"/>
      <c r="AB21" s="70"/>
    </row>
    <row r="22" ht="19.5" customHeight="1">
      <c r="A22" s="65"/>
      <c r="B22" s="66"/>
      <c r="C22" s="67" t="str">
        <f t="array" ref="C22">index(Grades, match($D22*100,GradeRange,-1), 1)</f>
        <v/>
      </c>
      <c r="D22" s="68">
        <f>sum($E22:$AB22)/TotalPoints</f>
        <v>0</v>
      </c>
      <c r="E22" s="69"/>
      <c r="F22" s="69"/>
      <c r="G22" s="69"/>
      <c r="H22" s="69"/>
      <c r="I22" s="69"/>
      <c r="J22" s="69"/>
      <c r="K22" s="69"/>
      <c r="L22" s="69"/>
      <c r="M22" s="71"/>
      <c r="N22" s="69"/>
      <c r="O22" s="69"/>
      <c r="P22" s="69"/>
      <c r="Q22" s="69"/>
      <c r="R22" s="70"/>
      <c r="S22" s="70"/>
      <c r="T22" s="70"/>
      <c r="U22" s="70"/>
      <c r="V22" s="70"/>
      <c r="W22" s="70"/>
      <c r="X22" s="70"/>
      <c r="Y22" s="70"/>
      <c r="Z22" s="70"/>
      <c r="AA22" s="70"/>
      <c r="AB22" s="70"/>
    </row>
    <row r="23" ht="19.5" customHeight="1">
      <c r="A23" s="65"/>
      <c r="B23" s="66"/>
      <c r="C23" s="67" t="str">
        <f t="array" ref="C23">index(Grades, match($D23*100,GradeRange,-1), 1)</f>
        <v/>
      </c>
      <c r="D23" s="68">
        <f>sum($E23:$AB23)/TotalPoints</f>
        <v>0</v>
      </c>
      <c r="E23" s="69"/>
      <c r="F23" s="69"/>
      <c r="G23" s="69"/>
      <c r="H23" s="69"/>
      <c r="I23" s="69"/>
      <c r="J23" s="69"/>
      <c r="K23" s="69"/>
      <c r="L23" s="69"/>
      <c r="M23" s="71"/>
      <c r="N23" s="69"/>
      <c r="O23" s="69"/>
      <c r="P23" s="69"/>
      <c r="Q23" s="69"/>
      <c r="R23" s="70"/>
      <c r="S23" s="70"/>
      <c r="T23" s="70"/>
      <c r="U23" s="70"/>
      <c r="V23" s="70"/>
      <c r="W23" s="70"/>
      <c r="X23" s="70"/>
      <c r="Y23" s="70"/>
      <c r="Z23" s="70"/>
      <c r="AA23" s="70"/>
      <c r="AB23" s="70"/>
    </row>
    <row r="24" ht="19.5" customHeight="1">
      <c r="A24" s="65"/>
      <c r="B24" s="66"/>
      <c r="C24" s="67" t="str">
        <f t="array" ref="C24">index(Grades, match($D24*100,GradeRange,-1), 1)</f>
        <v/>
      </c>
      <c r="D24" s="68">
        <f>sum($E24:$AB24)/TotalPoints</f>
        <v>0</v>
      </c>
      <c r="E24" s="69"/>
      <c r="F24" s="69"/>
      <c r="G24" s="69"/>
      <c r="H24" s="69"/>
      <c r="I24" s="69"/>
      <c r="J24" s="69"/>
      <c r="K24" s="69"/>
      <c r="L24" s="69"/>
      <c r="M24" s="71"/>
      <c r="N24" s="69"/>
      <c r="O24" s="69"/>
      <c r="P24" s="69"/>
      <c r="Q24" s="69"/>
      <c r="R24" s="70"/>
      <c r="S24" s="70"/>
      <c r="T24" s="70"/>
      <c r="U24" s="70"/>
      <c r="V24" s="70"/>
      <c r="W24" s="70"/>
      <c r="X24" s="70"/>
      <c r="Y24" s="70"/>
      <c r="Z24" s="70"/>
      <c r="AA24" s="70"/>
      <c r="AB24" s="70"/>
    </row>
    <row r="25" ht="19.5" customHeight="1">
      <c r="A25" s="65"/>
      <c r="B25" s="66"/>
      <c r="C25" s="67" t="str">
        <f t="array" ref="C25">index(Grades, match($D25*100,GradeRange,-1), 1)</f>
        <v/>
      </c>
      <c r="D25" s="68">
        <f>sum($E25:$AB25)/TotalPoints</f>
        <v>0</v>
      </c>
      <c r="E25" s="69"/>
      <c r="F25" s="69"/>
      <c r="G25" s="69"/>
      <c r="H25" s="69"/>
      <c r="I25" s="69"/>
      <c r="J25" s="69"/>
      <c r="K25" s="69"/>
      <c r="L25" s="69"/>
      <c r="M25" s="71"/>
      <c r="N25" s="69"/>
      <c r="O25" s="69"/>
      <c r="P25" s="69"/>
      <c r="Q25" s="69"/>
      <c r="R25" s="70"/>
      <c r="S25" s="70"/>
      <c r="T25" s="70"/>
      <c r="U25" s="70"/>
      <c r="V25" s="70"/>
      <c r="W25" s="70"/>
      <c r="X25" s="70"/>
      <c r="Y25" s="70"/>
      <c r="Z25" s="70"/>
      <c r="AA25" s="70"/>
      <c r="AB25" s="70"/>
    </row>
    <row r="26" ht="19.5" customHeight="1">
      <c r="A26" s="65"/>
      <c r="B26" s="66"/>
      <c r="C26" s="67" t="str">
        <f t="array" ref="C26">index(Grades, match($D26*100,GradeRange,-1), 1)</f>
        <v/>
      </c>
      <c r="D26" s="68">
        <f>sum($E26:$AB26)/TotalPoints</f>
        <v>0</v>
      </c>
      <c r="E26" s="69"/>
      <c r="F26" s="69"/>
      <c r="G26" s="69"/>
      <c r="H26" s="69"/>
      <c r="I26" s="69"/>
      <c r="J26" s="69"/>
      <c r="K26" s="69"/>
      <c r="L26" s="69"/>
      <c r="M26" s="71"/>
      <c r="N26" s="69"/>
      <c r="O26" s="69"/>
      <c r="P26" s="69"/>
      <c r="Q26" s="69"/>
      <c r="R26" s="70"/>
      <c r="S26" s="70"/>
      <c r="T26" s="70"/>
      <c r="U26" s="70"/>
      <c r="V26" s="70"/>
      <c r="W26" s="70"/>
      <c r="X26" s="70"/>
      <c r="Y26" s="70"/>
      <c r="Z26" s="70"/>
      <c r="AA26" s="70"/>
      <c r="AB26" s="70"/>
    </row>
    <row r="27" ht="19.5" customHeight="1">
      <c r="A27" s="65"/>
      <c r="B27" s="66"/>
      <c r="C27" s="67" t="str">
        <f t="array" ref="C27">index(Grades, match($D27*100,GradeRange,-1), 1)</f>
        <v/>
      </c>
      <c r="D27" s="68">
        <f>sum($E27:$AB27)/TotalPoints</f>
        <v>0</v>
      </c>
      <c r="E27" s="69"/>
      <c r="F27" s="69"/>
      <c r="G27" s="69"/>
      <c r="H27" s="69"/>
      <c r="I27" s="69"/>
      <c r="J27" s="69"/>
      <c r="K27" s="69"/>
      <c r="L27" s="69"/>
      <c r="M27" s="71"/>
      <c r="N27" s="69"/>
      <c r="O27" s="69"/>
      <c r="P27" s="69"/>
      <c r="Q27" s="69"/>
      <c r="R27" s="70"/>
      <c r="S27" s="70"/>
      <c r="T27" s="70"/>
      <c r="U27" s="70"/>
      <c r="V27" s="70"/>
      <c r="W27" s="70"/>
      <c r="X27" s="70"/>
      <c r="Y27" s="70"/>
      <c r="Z27" s="70"/>
      <c r="AA27" s="70"/>
      <c r="AB27" s="70"/>
    </row>
    <row r="28" ht="19.5" customHeight="1">
      <c r="A28" s="65"/>
      <c r="B28" s="66"/>
      <c r="C28" s="67" t="str">
        <f t="array" ref="C28">index(Grades, match($D28*100,GradeRange,-1), 1)</f>
        <v/>
      </c>
      <c r="D28" s="68">
        <f>sum($E28:$AB28)/TotalPoints</f>
        <v>0</v>
      </c>
      <c r="E28" s="69"/>
      <c r="F28" s="69"/>
      <c r="G28" s="69"/>
      <c r="H28" s="69"/>
      <c r="I28" s="69"/>
      <c r="J28" s="69"/>
      <c r="K28" s="69"/>
      <c r="L28" s="69"/>
      <c r="M28" s="71"/>
      <c r="N28" s="69"/>
      <c r="O28" s="69"/>
      <c r="P28" s="69"/>
      <c r="Q28" s="69"/>
      <c r="R28" s="70"/>
      <c r="S28" s="70"/>
      <c r="T28" s="70"/>
      <c r="U28" s="70"/>
      <c r="V28" s="70"/>
      <c r="W28" s="70"/>
      <c r="X28" s="70"/>
      <c r="Y28" s="70"/>
      <c r="Z28" s="70"/>
      <c r="AA28" s="70"/>
      <c r="AB28" s="70"/>
    </row>
    <row r="29" ht="19.5" customHeight="1">
      <c r="A29" s="65"/>
      <c r="B29" s="66"/>
      <c r="C29" s="67" t="str">
        <f t="array" ref="C29">index(Grades, match($D29*100,GradeRange,-1), 1)</f>
        <v/>
      </c>
      <c r="D29" s="68">
        <f>sum($E29:$AB29)/TotalPoints</f>
        <v>0</v>
      </c>
      <c r="E29" s="69"/>
      <c r="F29" s="69"/>
      <c r="G29" s="69"/>
      <c r="H29" s="69"/>
      <c r="I29" s="69"/>
      <c r="J29" s="69"/>
      <c r="K29" s="69"/>
      <c r="L29" s="69"/>
      <c r="M29" s="71"/>
      <c r="N29" s="69"/>
      <c r="O29" s="69"/>
      <c r="P29" s="69"/>
      <c r="Q29" s="69"/>
      <c r="R29" s="70"/>
      <c r="S29" s="70"/>
      <c r="T29" s="70"/>
      <c r="U29" s="70"/>
      <c r="V29" s="70"/>
      <c r="W29" s="70"/>
      <c r="X29" s="70"/>
      <c r="Y29" s="70"/>
      <c r="Z29" s="70"/>
      <c r="AA29" s="70"/>
      <c r="AB29" s="70"/>
    </row>
    <row r="30" ht="19.5" customHeight="1">
      <c r="A30" s="65"/>
      <c r="B30" s="66"/>
      <c r="C30" s="67" t="str">
        <f t="array" ref="C30">index(Grades, match($D30*100,GradeRange,-1), 1)</f>
        <v/>
      </c>
      <c r="D30" s="68">
        <f>sum($E30:$AB30)/TotalPoints</f>
        <v>0</v>
      </c>
      <c r="E30" s="69"/>
      <c r="F30" s="69"/>
      <c r="G30" s="69"/>
      <c r="H30" s="69"/>
      <c r="I30" s="69"/>
      <c r="J30" s="69"/>
      <c r="K30" s="69"/>
      <c r="L30" s="69"/>
      <c r="M30" s="71"/>
      <c r="N30" s="69"/>
      <c r="O30" s="69"/>
      <c r="P30" s="69"/>
      <c r="Q30" s="69"/>
      <c r="R30" s="70"/>
      <c r="S30" s="70"/>
      <c r="T30" s="70"/>
      <c r="U30" s="70"/>
      <c r="V30" s="70"/>
      <c r="W30" s="70"/>
      <c r="X30" s="70"/>
      <c r="Y30" s="70"/>
      <c r="Z30" s="70"/>
      <c r="AA30" s="70"/>
      <c r="AB30" s="70"/>
    </row>
    <row r="31" ht="19.5" customHeight="1">
      <c r="A31" s="65"/>
      <c r="B31" s="66"/>
      <c r="C31" s="67" t="str">
        <f t="array" ref="C31">index(Grades, match($D31*100,GradeRange,-1), 1)</f>
        <v/>
      </c>
      <c r="D31" s="68">
        <f>sum($E31:$AB31)/TotalPoints</f>
        <v>0</v>
      </c>
      <c r="E31" s="69"/>
      <c r="F31" s="69"/>
      <c r="G31" s="69"/>
      <c r="H31" s="69"/>
      <c r="I31" s="69"/>
      <c r="J31" s="69"/>
      <c r="K31" s="69"/>
      <c r="L31" s="69"/>
      <c r="M31" s="71"/>
      <c r="N31" s="69"/>
      <c r="O31" s="69"/>
      <c r="P31" s="69"/>
      <c r="Q31" s="69"/>
      <c r="R31" s="70"/>
      <c r="S31" s="70"/>
      <c r="T31" s="70"/>
      <c r="U31" s="70"/>
      <c r="V31" s="70"/>
      <c r="W31" s="70"/>
      <c r="X31" s="70"/>
      <c r="Y31" s="70"/>
      <c r="Z31" s="70"/>
      <c r="AA31" s="70"/>
      <c r="AB31" s="70"/>
    </row>
    <row r="32" ht="19.5" customHeight="1">
      <c r="A32" s="65"/>
      <c r="B32" s="66"/>
      <c r="C32" s="67" t="str">
        <f t="array" ref="C32">index(Grades, match($D32*100,GradeRange,-1), 1)</f>
        <v/>
      </c>
      <c r="D32" s="68">
        <f>sum($E32:$AB32)/TotalPoints</f>
        <v>0</v>
      </c>
      <c r="E32" s="69"/>
      <c r="F32" s="69"/>
      <c r="G32" s="69"/>
      <c r="H32" s="69"/>
      <c r="I32" s="69"/>
      <c r="J32" s="69"/>
      <c r="K32" s="69"/>
      <c r="L32" s="69"/>
      <c r="M32" s="71"/>
      <c r="N32" s="69"/>
      <c r="O32" s="69"/>
      <c r="P32" s="69"/>
      <c r="Q32" s="69"/>
      <c r="R32" s="70"/>
      <c r="S32" s="70"/>
      <c r="T32" s="70"/>
      <c r="U32" s="70"/>
      <c r="V32" s="70"/>
      <c r="W32" s="70"/>
      <c r="X32" s="70"/>
      <c r="Y32" s="70"/>
      <c r="Z32" s="70"/>
      <c r="AA32" s="70"/>
      <c r="AB32" s="70"/>
    </row>
    <row r="33" ht="19.5" customHeight="1">
      <c r="A33" s="65"/>
      <c r="B33" s="66"/>
      <c r="C33" s="67" t="str">
        <f t="array" ref="C33">index(Grades, match($D33*100,GradeRange,-1), 1)</f>
        <v/>
      </c>
      <c r="D33" s="68">
        <f>sum($E33:$AB33)/TotalPoints</f>
        <v>0</v>
      </c>
      <c r="E33" s="69"/>
      <c r="F33" s="69"/>
      <c r="G33" s="69"/>
      <c r="H33" s="69"/>
      <c r="I33" s="69"/>
      <c r="J33" s="69"/>
      <c r="K33" s="69"/>
      <c r="L33" s="69"/>
      <c r="M33" s="71"/>
      <c r="N33" s="69"/>
      <c r="O33" s="69"/>
      <c r="P33" s="69"/>
      <c r="Q33" s="69"/>
      <c r="R33" s="70"/>
      <c r="S33" s="70"/>
      <c r="T33" s="70"/>
      <c r="U33" s="70"/>
      <c r="V33" s="70"/>
      <c r="W33" s="70"/>
      <c r="X33" s="70"/>
      <c r="Y33" s="70"/>
      <c r="Z33" s="70"/>
      <c r="AA33" s="70"/>
      <c r="AB33" s="70"/>
    </row>
    <row r="34" ht="19.5" customHeight="1">
      <c r="A34" s="65"/>
      <c r="B34" s="66"/>
      <c r="C34" s="67" t="str">
        <f t="array" ref="C34">index(Grades, match($D34*100,GradeRange,-1), 1)</f>
        <v/>
      </c>
      <c r="D34" s="68">
        <f>sum($E34:$AB34)/TotalPoints</f>
        <v>0</v>
      </c>
      <c r="E34" s="69"/>
      <c r="F34" s="69"/>
      <c r="G34" s="69"/>
      <c r="H34" s="69"/>
      <c r="I34" s="69"/>
      <c r="J34" s="69"/>
      <c r="K34" s="69"/>
      <c r="L34" s="69"/>
      <c r="M34" s="71"/>
      <c r="N34" s="69"/>
      <c r="O34" s="69"/>
      <c r="P34" s="69"/>
      <c r="Q34" s="69"/>
      <c r="R34" s="70"/>
      <c r="S34" s="70"/>
      <c r="T34" s="70"/>
      <c r="U34" s="70"/>
      <c r="V34" s="70"/>
      <c r="W34" s="70"/>
      <c r="X34" s="70"/>
      <c r="Y34" s="70"/>
      <c r="Z34" s="70"/>
      <c r="AA34" s="70"/>
      <c r="AB34" s="70"/>
    </row>
    <row r="35" ht="19.5" customHeight="1">
      <c r="A35" s="65"/>
      <c r="B35" s="66"/>
      <c r="C35" s="67" t="str">
        <f t="array" ref="C35">index(Grades, match($D35*100,GradeRange,-1), 1)</f>
        <v/>
      </c>
      <c r="D35" s="68">
        <f>sum($E35:$AB35)/TotalPoints</f>
        <v>0</v>
      </c>
      <c r="E35" s="69"/>
      <c r="F35" s="69"/>
      <c r="G35" s="69"/>
      <c r="H35" s="69"/>
      <c r="I35" s="69"/>
      <c r="J35" s="69"/>
      <c r="K35" s="69"/>
      <c r="L35" s="69"/>
      <c r="M35" s="71"/>
      <c r="N35" s="69"/>
      <c r="O35" s="69"/>
      <c r="P35" s="69"/>
      <c r="Q35" s="69"/>
      <c r="R35" s="70"/>
      <c r="S35" s="70"/>
      <c r="T35" s="70"/>
      <c r="U35" s="70"/>
      <c r="V35" s="70"/>
      <c r="W35" s="70"/>
      <c r="X35" s="70"/>
      <c r="Y35" s="70"/>
      <c r="Z35" s="70"/>
      <c r="AA35" s="70"/>
      <c r="AB35" s="70"/>
    </row>
    <row r="36" ht="19.5" customHeight="1">
      <c r="A36" s="65"/>
      <c r="B36" s="66"/>
      <c r="C36" s="67" t="str">
        <f t="array" ref="C36">index(Grades, match($D36*100,GradeRange,-1), 1)</f>
        <v/>
      </c>
      <c r="D36" s="68">
        <f>sum($E36:$AB36)/TotalPoints</f>
        <v>0</v>
      </c>
      <c r="E36" s="69"/>
      <c r="F36" s="69"/>
      <c r="G36" s="69"/>
      <c r="H36" s="69"/>
      <c r="I36" s="69"/>
      <c r="J36" s="69"/>
      <c r="K36" s="69"/>
      <c r="L36" s="69"/>
      <c r="M36" s="71"/>
      <c r="N36" s="69"/>
      <c r="O36" s="69"/>
      <c r="P36" s="69"/>
      <c r="Q36" s="69"/>
      <c r="R36" s="70"/>
      <c r="S36" s="70"/>
      <c r="T36" s="70"/>
      <c r="U36" s="70"/>
      <c r="V36" s="70"/>
      <c r="W36" s="70"/>
      <c r="X36" s="70"/>
      <c r="Y36" s="70"/>
      <c r="Z36" s="70"/>
      <c r="AA36" s="70"/>
      <c r="AB36" s="70"/>
    </row>
    <row r="37" ht="19.5" customHeight="1">
      <c r="A37" s="65"/>
      <c r="B37" s="66"/>
      <c r="C37" s="67" t="str">
        <f t="array" ref="C37">index(Grades, match($D37*100,GradeRange,-1), 1)</f>
        <v/>
      </c>
      <c r="D37" s="68">
        <f>sum($E37:$AB37)/TotalPoints</f>
        <v>0</v>
      </c>
      <c r="E37" s="69"/>
      <c r="F37" s="69"/>
      <c r="G37" s="69"/>
      <c r="H37" s="69"/>
      <c r="I37" s="69"/>
      <c r="J37" s="69"/>
      <c r="K37" s="69"/>
      <c r="L37" s="69"/>
      <c r="M37" s="71"/>
      <c r="N37" s="69"/>
      <c r="O37" s="69"/>
      <c r="P37" s="69"/>
      <c r="Q37" s="69"/>
      <c r="R37" s="70"/>
      <c r="S37" s="70"/>
      <c r="T37" s="70"/>
      <c r="U37" s="70"/>
      <c r="V37" s="70"/>
      <c r="W37" s="70"/>
      <c r="X37" s="70"/>
      <c r="Y37" s="70"/>
      <c r="Z37" s="70"/>
      <c r="AA37" s="70"/>
      <c r="AB37" s="70"/>
    </row>
    <row r="38" ht="19.5" customHeight="1">
      <c r="A38" s="65"/>
      <c r="B38" s="66"/>
      <c r="C38" s="67" t="str">
        <f t="array" ref="C38">index(Grades, match($D38*100,GradeRange,-1), 1)</f>
        <v/>
      </c>
      <c r="D38" s="68">
        <f>sum($E38:$AB38)/TotalPoints</f>
        <v>0</v>
      </c>
      <c r="E38" s="69"/>
      <c r="F38" s="69"/>
      <c r="G38" s="69"/>
      <c r="H38" s="69"/>
      <c r="I38" s="69"/>
      <c r="J38" s="69"/>
      <c r="K38" s="69"/>
      <c r="L38" s="69"/>
      <c r="M38" s="71"/>
      <c r="N38" s="69"/>
      <c r="O38" s="69"/>
      <c r="P38" s="69"/>
      <c r="Q38" s="69"/>
      <c r="R38" s="70"/>
      <c r="S38" s="70"/>
      <c r="T38" s="70"/>
      <c r="U38" s="70"/>
      <c r="V38" s="70"/>
      <c r="W38" s="70"/>
      <c r="X38" s="70"/>
      <c r="Y38" s="70"/>
      <c r="Z38" s="70"/>
      <c r="AA38" s="70"/>
      <c r="AB38" s="70"/>
    </row>
    <row r="39" ht="19.5" customHeight="1">
      <c r="A39" s="65"/>
      <c r="B39" s="66"/>
      <c r="C39" s="67" t="str">
        <f t="array" ref="C39">index(Grades, match($D39*100,GradeRange,-1), 1)</f>
        <v/>
      </c>
      <c r="D39" s="68">
        <f>sum($E39:$AB39)/TotalPoints</f>
        <v>0</v>
      </c>
      <c r="E39" s="69"/>
      <c r="F39" s="69"/>
      <c r="G39" s="69"/>
      <c r="H39" s="69"/>
      <c r="I39" s="69"/>
      <c r="J39" s="69"/>
      <c r="K39" s="69"/>
      <c r="L39" s="69"/>
      <c r="M39" s="71"/>
      <c r="N39" s="69"/>
      <c r="O39" s="69"/>
      <c r="P39" s="69"/>
      <c r="Q39" s="69"/>
      <c r="R39" s="70"/>
      <c r="S39" s="70"/>
      <c r="T39" s="70"/>
      <c r="U39" s="70"/>
      <c r="V39" s="70"/>
      <c r="W39" s="70"/>
      <c r="X39" s="70"/>
      <c r="Y39" s="70"/>
      <c r="Z39" s="70"/>
      <c r="AA39" s="70"/>
      <c r="AB39" s="70"/>
    </row>
    <row r="40" ht="19.5" customHeight="1">
      <c r="A40" s="65"/>
      <c r="B40" s="66"/>
      <c r="C40" s="67" t="str">
        <f t="array" ref="C40">index(Grades, match($D40*100,GradeRange,-1), 1)</f>
        <v/>
      </c>
      <c r="D40" s="68">
        <f>sum($E40:$AB40)/TotalPoints</f>
        <v>0</v>
      </c>
      <c r="E40" s="69"/>
      <c r="F40" s="69"/>
      <c r="G40" s="69"/>
      <c r="H40" s="69"/>
      <c r="I40" s="69"/>
      <c r="J40" s="69"/>
      <c r="K40" s="69"/>
      <c r="L40" s="69"/>
      <c r="M40" s="71"/>
      <c r="N40" s="69"/>
      <c r="O40" s="69"/>
      <c r="P40" s="69"/>
      <c r="Q40" s="69"/>
      <c r="R40" s="70"/>
      <c r="S40" s="70"/>
      <c r="T40" s="70"/>
      <c r="U40" s="70"/>
      <c r="V40" s="70"/>
      <c r="W40" s="70"/>
      <c r="X40" s="70"/>
      <c r="Y40" s="70"/>
      <c r="Z40" s="70"/>
      <c r="AA40" s="70"/>
      <c r="AB40" s="70"/>
    </row>
    <row r="41" ht="19.5" customHeight="1">
      <c r="A41" s="65"/>
      <c r="B41" s="66"/>
      <c r="C41" s="67" t="str">
        <f t="array" ref="C41">index(Grades, match($D41*100,GradeRange,-1), 1)</f>
        <v/>
      </c>
      <c r="D41" s="68">
        <f>sum($E41:$AB41)/TotalPoints</f>
        <v>0</v>
      </c>
      <c r="E41" s="69"/>
      <c r="F41" s="69"/>
      <c r="G41" s="69"/>
      <c r="H41" s="69"/>
      <c r="I41" s="69"/>
      <c r="J41" s="69"/>
      <c r="K41" s="69"/>
      <c r="L41" s="69"/>
      <c r="M41" s="71"/>
      <c r="N41" s="69"/>
      <c r="O41" s="69"/>
      <c r="P41" s="69"/>
      <c r="Q41" s="69"/>
      <c r="R41" s="70"/>
      <c r="S41" s="70"/>
      <c r="T41" s="70"/>
      <c r="U41" s="70"/>
      <c r="V41" s="70"/>
      <c r="W41" s="70"/>
      <c r="X41" s="70"/>
      <c r="Y41" s="70"/>
      <c r="Z41" s="70"/>
      <c r="AA41" s="70"/>
      <c r="AB41" s="70"/>
    </row>
    <row r="42" ht="19.5" customHeight="1">
      <c r="A42" s="65"/>
      <c r="B42" s="66"/>
      <c r="C42" s="67" t="str">
        <f t="array" ref="C42">index(Grades, match($D42*100,GradeRange,-1), 1)</f>
        <v/>
      </c>
      <c r="D42" s="68">
        <f>sum($E42:$AB42)/TotalPoints</f>
        <v>0</v>
      </c>
      <c r="E42" s="69"/>
      <c r="F42" s="69"/>
      <c r="G42" s="69"/>
      <c r="H42" s="69"/>
      <c r="I42" s="69"/>
      <c r="J42" s="69"/>
      <c r="K42" s="69"/>
      <c r="L42" s="69"/>
      <c r="M42" s="71"/>
      <c r="N42" s="69"/>
      <c r="O42" s="69"/>
      <c r="P42" s="69"/>
      <c r="Q42" s="69"/>
      <c r="R42" s="70"/>
      <c r="S42" s="70"/>
      <c r="T42" s="70"/>
      <c r="U42" s="70"/>
      <c r="V42" s="70"/>
      <c r="W42" s="70"/>
      <c r="X42" s="70"/>
      <c r="Y42" s="70"/>
      <c r="Z42" s="70"/>
      <c r="AA42" s="70"/>
      <c r="AB42" s="70"/>
    </row>
    <row r="43" ht="19.5" customHeight="1">
      <c r="A43" s="65"/>
      <c r="B43" s="66"/>
      <c r="C43" s="67" t="str">
        <f t="array" ref="C43">index(Grades, match($D43*100,GradeRange,-1), 1)</f>
        <v/>
      </c>
      <c r="D43" s="68">
        <f>sum($E43:$AB43)/TotalPoints</f>
        <v>0</v>
      </c>
      <c r="E43" s="69"/>
      <c r="F43" s="69"/>
      <c r="G43" s="69"/>
      <c r="H43" s="69"/>
      <c r="I43" s="69"/>
      <c r="J43" s="69"/>
      <c r="K43" s="69"/>
      <c r="L43" s="69"/>
      <c r="M43" s="71"/>
      <c r="N43" s="69"/>
      <c r="O43" s="69"/>
      <c r="P43" s="69"/>
      <c r="Q43" s="69"/>
      <c r="R43" s="70"/>
      <c r="S43" s="70"/>
      <c r="T43" s="70"/>
      <c r="U43" s="70"/>
      <c r="V43" s="70"/>
      <c r="W43" s="70"/>
      <c r="X43" s="70"/>
      <c r="Y43" s="70"/>
      <c r="Z43" s="70"/>
      <c r="AA43" s="70"/>
      <c r="AB43" s="70"/>
    </row>
    <row r="44" ht="19.5" customHeight="1">
      <c r="A44" s="65"/>
      <c r="B44" s="66"/>
      <c r="C44" s="67" t="str">
        <f t="array" ref="C44">index(Grades, match($D44*100,GradeRange,-1), 1)</f>
        <v/>
      </c>
      <c r="D44" s="68">
        <f>sum($E44:$AB44)/TotalPoints</f>
        <v>0</v>
      </c>
      <c r="E44" s="69"/>
      <c r="F44" s="69"/>
      <c r="G44" s="69"/>
      <c r="H44" s="69"/>
      <c r="I44" s="69"/>
      <c r="J44" s="69"/>
      <c r="K44" s="69"/>
      <c r="L44" s="69"/>
      <c r="M44" s="71"/>
      <c r="N44" s="69"/>
      <c r="O44" s="69"/>
      <c r="P44" s="69"/>
      <c r="Q44" s="69"/>
      <c r="R44" s="70"/>
      <c r="S44" s="70"/>
      <c r="T44" s="70"/>
      <c r="U44" s="70"/>
      <c r="V44" s="70"/>
      <c r="W44" s="70"/>
      <c r="X44" s="70"/>
      <c r="Y44" s="70"/>
      <c r="Z44" s="70"/>
      <c r="AA44" s="70"/>
      <c r="AB44" s="70"/>
    </row>
    <row r="45" ht="19.5" customHeight="1">
      <c r="A45" s="65"/>
      <c r="B45" s="66"/>
      <c r="C45" s="67" t="str">
        <f t="array" ref="C45">index(Grades, match($D45*100,GradeRange,-1), 1)</f>
        <v/>
      </c>
      <c r="D45" s="68">
        <f>sum($E45:$AB45)/TotalPoints</f>
        <v>0</v>
      </c>
      <c r="E45" s="69"/>
      <c r="F45" s="69"/>
      <c r="G45" s="69"/>
      <c r="H45" s="69"/>
      <c r="I45" s="69"/>
      <c r="J45" s="69"/>
      <c r="K45" s="69"/>
      <c r="L45" s="69"/>
      <c r="M45" s="71"/>
      <c r="N45" s="69"/>
      <c r="O45" s="69"/>
      <c r="P45" s="69"/>
      <c r="Q45" s="69"/>
      <c r="R45" s="70"/>
      <c r="S45" s="70"/>
      <c r="T45" s="70"/>
      <c r="U45" s="70"/>
      <c r="V45" s="70"/>
      <c r="W45" s="70"/>
      <c r="X45" s="70"/>
      <c r="Y45" s="70"/>
      <c r="Z45" s="70"/>
      <c r="AA45" s="70"/>
      <c r="AB45" s="70"/>
    </row>
    <row r="46" ht="6.0" customHeight="1">
      <c r="A46" s="72"/>
      <c r="B46" s="73"/>
      <c r="C46" s="72"/>
      <c r="D46" s="74"/>
      <c r="E46" s="75"/>
      <c r="F46" s="76"/>
      <c r="G46" s="76"/>
      <c r="H46" s="76"/>
      <c r="I46" s="76"/>
      <c r="J46" s="76"/>
      <c r="K46" s="76"/>
      <c r="L46" s="76"/>
      <c r="M46" s="76"/>
      <c r="N46" s="76"/>
      <c r="O46" s="76"/>
      <c r="P46" s="76"/>
      <c r="Q46" s="76"/>
      <c r="R46" s="76"/>
      <c r="S46" s="76"/>
      <c r="T46" s="76"/>
      <c r="U46" s="76"/>
      <c r="V46" s="76"/>
      <c r="W46" s="76"/>
      <c r="X46" s="76"/>
      <c r="Y46" s="76"/>
      <c r="Z46" s="76"/>
      <c r="AA46" s="76"/>
      <c r="AB46" s="76"/>
    </row>
  </sheetData>
  <mergeCells count="1">
    <mergeCell ref="E1:Q1"/>
  </mergeCells>
  <conditionalFormatting sqref="A6:AB45">
    <cfRule type="expression" dxfId="0" priority="1">
      <formula>iseven(row())</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 customWidth="1" min="2" max="2" width="17.63"/>
    <col customWidth="1" min="3" max="4" width="6.38"/>
    <col customWidth="1" min="5" max="7" width="9.5"/>
    <col customWidth="1" min="8" max="8" width="7.63"/>
    <col customWidth="1" min="9" max="9" width="32.0"/>
    <col customWidth="1" min="10" max="28" width="7.63"/>
  </cols>
  <sheetData>
    <row r="1" ht="6.0" customHeight="1">
      <c r="A1" s="77"/>
      <c r="B1" s="78" t="s">
        <v>33</v>
      </c>
      <c r="J1" s="79"/>
      <c r="K1" s="79"/>
      <c r="L1" s="79"/>
      <c r="M1" s="79"/>
      <c r="N1" s="79"/>
      <c r="O1" s="79"/>
      <c r="P1" s="79"/>
      <c r="Q1" s="80"/>
      <c r="R1" s="80"/>
      <c r="S1" s="80"/>
      <c r="T1" s="80"/>
      <c r="U1" s="80"/>
      <c r="V1" s="80"/>
      <c r="W1" s="80"/>
      <c r="X1" s="80"/>
      <c r="Y1" s="80"/>
      <c r="Z1" s="80"/>
      <c r="AA1" s="80"/>
      <c r="AB1" s="80"/>
    </row>
    <row r="2" ht="24.0"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row>
    <row r="3" ht="24.0" customHeight="1">
      <c r="A3" s="81"/>
      <c r="B3" s="82" t="s">
        <v>34</v>
      </c>
      <c r="D3" s="81"/>
      <c r="E3" s="81"/>
      <c r="F3" s="81"/>
      <c r="G3" s="81"/>
      <c r="H3" s="81"/>
      <c r="I3" s="81"/>
      <c r="J3" s="81"/>
      <c r="K3" s="81"/>
      <c r="L3" s="81"/>
      <c r="M3" s="81"/>
      <c r="N3" s="81"/>
      <c r="O3" s="81"/>
      <c r="P3" s="81"/>
      <c r="Q3" s="81"/>
      <c r="R3" s="81"/>
      <c r="S3" s="81"/>
      <c r="T3" s="81"/>
      <c r="U3" s="81"/>
      <c r="V3" s="81"/>
      <c r="W3" s="81"/>
      <c r="X3" s="81"/>
      <c r="Y3" s="81"/>
      <c r="Z3" s="81"/>
      <c r="AA3" s="81"/>
      <c r="AB3" s="81"/>
    </row>
    <row r="4" ht="36.0" customHeight="1">
      <c r="A4" s="83"/>
      <c r="B4" s="84" t="s">
        <v>30</v>
      </c>
      <c r="H4" s="85"/>
      <c r="I4" s="85"/>
      <c r="J4" s="85"/>
      <c r="K4" s="85"/>
      <c r="L4" s="85"/>
      <c r="M4" s="85"/>
      <c r="N4" s="85"/>
      <c r="O4" s="83"/>
      <c r="P4" s="83"/>
      <c r="Q4" s="83"/>
      <c r="R4" s="83"/>
      <c r="S4" s="83"/>
      <c r="T4" s="83"/>
      <c r="U4" s="83"/>
      <c r="V4" s="83"/>
      <c r="W4" s="83"/>
      <c r="X4" s="83"/>
      <c r="Y4" s="83"/>
      <c r="Z4" s="83"/>
      <c r="AA4" s="83"/>
      <c r="AB4" s="83"/>
    </row>
    <row r="5" ht="24.0" customHeight="1">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row>
    <row r="6" ht="21.0" customHeight="1">
      <c r="A6" s="86"/>
      <c r="B6" s="87" t="str">
        <f t="array" ref="B6:AB6">Notas!B2:AB2</f>
        <v>NOMBRE DE LA CLASE</v>
      </c>
      <c r="C6" s="88"/>
      <c r="D6" s="88"/>
      <c r="E6" s="89" t="s">
        <v>24</v>
      </c>
      <c r="F6" s="89" t="s">
        <v>25</v>
      </c>
      <c r="G6" s="89" t="s">
        <v>26</v>
      </c>
      <c r="H6" s="90"/>
      <c r="I6" s="90"/>
      <c r="J6" s="90"/>
      <c r="K6" s="90"/>
      <c r="L6" s="90"/>
      <c r="M6" s="90"/>
      <c r="N6" s="90"/>
      <c r="O6" s="90"/>
      <c r="P6" s="90"/>
      <c r="Q6" s="90"/>
      <c r="R6" s="90"/>
      <c r="S6" s="90"/>
      <c r="T6" s="90"/>
      <c r="U6" s="90"/>
      <c r="V6" s="90"/>
      <c r="W6" s="90"/>
      <c r="X6" s="90"/>
      <c r="Y6" s="90"/>
      <c r="Z6" s="90"/>
      <c r="AA6" s="90"/>
      <c r="AB6" s="90"/>
    </row>
    <row r="7" ht="21.0" customHeight="1">
      <c r="A7" s="91"/>
      <c r="B7" s="92" t="str">
        <f t="array" ref="B7:D7">Notas!$B$5:$D$5</f>
        <v>Promedio de la clase</v>
      </c>
      <c r="C7" s="93" t="s">
        <v>16</v>
      </c>
      <c r="D7" s="94">
        <v>0.8549019607843138</v>
      </c>
      <c r="E7" s="95">
        <f t="array" ref="E7:AB7">iferror(ClassAvgPoints/PointValues,"")</f>
        <v>0.8333333333</v>
      </c>
      <c r="F7" s="95">
        <v>0.92</v>
      </c>
      <c r="G7" s="95">
        <v>0.8266666666666667</v>
      </c>
      <c r="H7" s="96"/>
      <c r="I7" s="96"/>
      <c r="J7" s="96"/>
      <c r="K7" s="96"/>
      <c r="L7" s="96"/>
      <c r="M7" s="96"/>
      <c r="N7" s="96"/>
      <c r="O7" s="96"/>
      <c r="P7" s="96"/>
      <c r="Q7" s="96"/>
      <c r="R7" s="96"/>
      <c r="S7" s="96"/>
      <c r="T7" s="96"/>
      <c r="U7" s="96"/>
      <c r="V7" s="96"/>
      <c r="W7" s="96"/>
      <c r="X7" s="96"/>
      <c r="Y7" s="96"/>
      <c r="Z7" s="96"/>
      <c r="AA7" s="96"/>
      <c r="AB7" s="96"/>
    </row>
    <row r="8" ht="21.0" customHeight="1">
      <c r="A8" s="97"/>
      <c r="B8" s="98" t="str">
        <f t="array" ref="B8:D8">iferror(index(Notas!$B$6:$D$45, match($B$4,Notas!$B$6:$B$45,0)),"Selecciona un alumno de la lista de la celda B4")</f>
        <v>Alumno 1</v>
      </c>
      <c r="C8" s="99" t="s">
        <v>16</v>
      </c>
      <c r="D8" s="100">
        <v>0.8235294117647058</v>
      </c>
      <c r="E8" s="101">
        <f t="array" ref="E8:AB8">iferror(index(Notas!$E$6:$AB$45, match($B$4,Notas!$B$6:$B$45,0))/PointValues,"")</f>
        <v>1</v>
      </c>
      <c r="F8" s="101">
        <v>1.0</v>
      </c>
      <c r="G8" s="101">
        <v>0.7</v>
      </c>
      <c r="H8" s="102"/>
      <c r="I8" s="102"/>
      <c r="J8" s="102"/>
      <c r="K8" s="102"/>
      <c r="L8" s="102"/>
      <c r="M8" s="102"/>
      <c r="N8" s="102"/>
      <c r="O8" s="102"/>
      <c r="P8" s="102"/>
      <c r="Q8" s="102"/>
      <c r="R8" s="102"/>
      <c r="S8" s="102"/>
      <c r="T8" s="102"/>
      <c r="U8" s="102"/>
      <c r="V8" s="102"/>
      <c r="W8" s="102"/>
      <c r="X8" s="102"/>
      <c r="Y8" s="102"/>
      <c r="Z8" s="102"/>
      <c r="AA8" s="102"/>
      <c r="AB8" s="102"/>
    </row>
    <row r="9">
      <c r="A9" s="103"/>
      <c r="B9" s="104"/>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row>
    <row r="10">
      <c r="A10" s="105"/>
      <c r="B10" s="106"/>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row>
    <row r="11" ht="19.5" customHeight="1">
      <c r="A11" s="24"/>
      <c r="B11" s="107"/>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row>
    <row r="12" ht="19.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row>
    <row r="13" ht="19.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row>
    <row r="14" ht="19.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row>
    <row r="15" ht="19.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row>
    <row r="16" ht="19.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row>
    <row r="17" ht="19.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row>
    <row r="18" ht="19.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row>
    <row r="19" ht="19.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row>
    <row r="20" ht="19.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row>
    <row r="21" ht="19.5"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row>
    <row r="22" ht="19.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row>
    <row r="23" ht="19.5" customHeight="1">
      <c r="A23" s="108"/>
      <c r="B23" s="109"/>
      <c r="C23" s="108"/>
      <c r="D23" s="109"/>
      <c r="E23" s="108"/>
      <c r="F23" s="109"/>
      <c r="G23" s="108"/>
      <c r="H23" s="108"/>
      <c r="I23" s="108"/>
      <c r="J23" s="108"/>
      <c r="K23" s="108"/>
      <c r="L23" s="108"/>
      <c r="M23" s="108"/>
      <c r="N23" s="108"/>
      <c r="O23" s="108"/>
      <c r="P23" s="108"/>
      <c r="Q23" s="108"/>
      <c r="R23" s="108"/>
      <c r="S23" s="108"/>
      <c r="T23" s="108"/>
      <c r="U23" s="108"/>
      <c r="V23" s="108"/>
      <c r="W23" s="108"/>
      <c r="X23" s="108"/>
      <c r="Y23" s="108"/>
      <c r="Z23" s="108"/>
      <c r="AA23" s="108"/>
      <c r="AB23" s="108"/>
    </row>
    <row r="24" ht="19.5"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row>
    <row r="25" ht="16.5"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row>
    <row r="26" ht="16.5"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row>
    <row r="27" ht="6.0" customHeight="1">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row>
  </sheetData>
  <mergeCells count="3">
    <mergeCell ref="B4:G4"/>
    <mergeCell ref="B1:I1"/>
    <mergeCell ref="B3:C3"/>
  </mergeCells>
  <dataValidations>
    <dataValidation type="list" allowBlank="1" showInputMessage="1" prompt="Elige un alumno del menú desplegable" sqref="B4">
      <formula1>Notas!$B$6:$B$46</formula1>
    </dataValidation>
  </dataValidations>
  <drawing r:id="rId1"/>
</worksheet>
</file>